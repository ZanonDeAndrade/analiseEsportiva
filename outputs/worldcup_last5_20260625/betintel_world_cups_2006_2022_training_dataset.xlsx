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615" windowWidth="19815" windowHeight="6855"/>
  </bookViews>
  <sheets>
    <sheet name="Resumo" sheetId="1" r:id="rId1"/>
    <sheet name="Partidas" sheetId="2" r:id="rId2"/>
    <sheet name="Labels_Modelo" sheetId="3" r:id="rId3"/>
    <sheet name="Por_Edicao" sheetId="4" r:id="rId4"/>
    <sheet name="Dicionario" sheetId="5" r:id="rId5"/>
    <sheet name="Fontes_Limitacoes" sheetId="6" r:id="rId6"/>
  </sheets>
  <calcPr calcId="125725"/>
</workbook>
</file>

<file path=xl/calcChain.xml><?xml version="1.0" encoding="utf-8"?>
<calcChain xmlns="http://schemas.openxmlformats.org/spreadsheetml/2006/main">
  <c r="M6" i="4"/>
  <c r="N6" s="1"/>
  <c r="L6"/>
  <c r="K6"/>
  <c r="J6"/>
  <c r="I6"/>
  <c r="H6"/>
  <c r="G6"/>
  <c r="F6"/>
  <c r="E6"/>
  <c r="C6"/>
  <c r="D6" s="1"/>
  <c r="B6"/>
  <c r="M5"/>
  <c r="N5" s="1"/>
  <c r="L5"/>
  <c r="K5"/>
  <c r="I5"/>
  <c r="H5"/>
  <c r="J5" s="1"/>
  <c r="G5"/>
  <c r="F5"/>
  <c r="E5"/>
  <c r="D5"/>
  <c r="C5"/>
  <c r="B5"/>
  <c r="M4"/>
  <c r="N4" s="1"/>
  <c r="L4"/>
  <c r="K4"/>
  <c r="I4"/>
  <c r="H4"/>
  <c r="J4" s="1"/>
  <c r="G4"/>
  <c r="F4"/>
  <c r="E4"/>
  <c r="C4"/>
  <c r="D4" s="1"/>
  <c r="B4"/>
  <c r="M3"/>
  <c r="N3" s="1"/>
  <c r="L3"/>
  <c r="K3"/>
  <c r="J3"/>
  <c r="I3"/>
  <c r="H3"/>
  <c r="G3"/>
  <c r="F3"/>
  <c r="E3"/>
  <c r="C3"/>
  <c r="D3" s="1"/>
  <c r="B3"/>
  <c r="M2"/>
  <c r="L2"/>
  <c r="K2"/>
  <c r="I2"/>
  <c r="H2"/>
  <c r="J2" s="1"/>
  <c r="G2"/>
  <c r="F2"/>
  <c r="E2"/>
  <c r="C2"/>
  <c r="D2" s="1"/>
  <c r="B2"/>
  <c r="N2" s="1"/>
  <c r="AI321" i="3"/>
  <c r="AH321"/>
  <c r="AG321"/>
  <c r="AF321"/>
  <c r="AA321"/>
  <c r="Z321"/>
  <c r="Y321"/>
  <c r="X321"/>
  <c r="AB321" s="1"/>
  <c r="T321"/>
  <c r="U321" s="1"/>
  <c r="S321"/>
  <c r="I321"/>
  <c r="J321" s="1"/>
  <c r="H321"/>
  <c r="Q321" s="1"/>
  <c r="G321"/>
  <c r="F321"/>
  <c r="O321" s="1"/>
  <c r="E321"/>
  <c r="D321"/>
  <c r="C321"/>
  <c r="B321"/>
  <c r="A321"/>
  <c r="AI320"/>
  <c r="AH320"/>
  <c r="AG320"/>
  <c r="AF320"/>
  <c r="AA320"/>
  <c r="Z320"/>
  <c r="Y320"/>
  <c r="X320"/>
  <c r="AB320" s="1"/>
  <c r="T320"/>
  <c r="S320"/>
  <c r="U320" s="1"/>
  <c r="H320"/>
  <c r="P320" s="1"/>
  <c r="G320"/>
  <c r="I320" s="1"/>
  <c r="F320"/>
  <c r="E320"/>
  <c r="D320"/>
  <c r="C320"/>
  <c r="B320"/>
  <c r="A320"/>
  <c r="AI319"/>
  <c r="AH319"/>
  <c r="AG319"/>
  <c r="AF319"/>
  <c r="AB319"/>
  <c r="AA319"/>
  <c r="Z319"/>
  <c r="Y319"/>
  <c r="X319"/>
  <c r="T319"/>
  <c r="S319"/>
  <c r="U319" s="1"/>
  <c r="R319"/>
  <c r="P319"/>
  <c r="H319"/>
  <c r="Q319" s="1"/>
  <c r="G319"/>
  <c r="F319"/>
  <c r="O319" s="1"/>
  <c r="E319"/>
  <c r="D319"/>
  <c r="C319"/>
  <c r="B319"/>
  <c r="A319"/>
  <c r="AI318"/>
  <c r="AH318"/>
  <c r="AG318"/>
  <c r="AF318"/>
  <c r="AA318"/>
  <c r="AB318" s="1"/>
  <c r="Z318"/>
  <c r="Y318"/>
  <c r="X318"/>
  <c r="T318"/>
  <c r="U318" s="1"/>
  <c r="S318"/>
  <c r="R318"/>
  <c r="Q318"/>
  <c r="P318"/>
  <c r="O318"/>
  <c r="H318"/>
  <c r="G318"/>
  <c r="F318"/>
  <c r="I318" s="1"/>
  <c r="E318"/>
  <c r="D318"/>
  <c r="C318"/>
  <c r="B318"/>
  <c r="A318"/>
  <c r="AI317"/>
  <c r="AH317"/>
  <c r="AG317"/>
  <c r="AF317"/>
  <c r="AA317"/>
  <c r="Z317"/>
  <c r="AB317" s="1"/>
  <c r="Y317"/>
  <c r="X317"/>
  <c r="U317"/>
  <c r="V317" s="1"/>
  <c r="T317"/>
  <c r="S317"/>
  <c r="Q317"/>
  <c r="P317"/>
  <c r="O317"/>
  <c r="N317"/>
  <c r="I317"/>
  <c r="M317" s="1"/>
  <c r="H317"/>
  <c r="R317" s="1"/>
  <c r="G317"/>
  <c r="F317"/>
  <c r="E317"/>
  <c r="D317"/>
  <c r="C317"/>
  <c r="B317"/>
  <c r="A317"/>
  <c r="AI316"/>
  <c r="AH316"/>
  <c r="AG316"/>
  <c r="AF316"/>
  <c r="AA316"/>
  <c r="Z316"/>
  <c r="Y316"/>
  <c r="AB316" s="1"/>
  <c r="X316"/>
  <c r="T316"/>
  <c r="U316" s="1"/>
  <c r="S316"/>
  <c r="O316"/>
  <c r="N316"/>
  <c r="M316"/>
  <c r="H316"/>
  <c r="P316" s="1"/>
  <c r="G316"/>
  <c r="F316"/>
  <c r="I316" s="1"/>
  <c r="E316"/>
  <c r="D316"/>
  <c r="C316"/>
  <c r="B316"/>
  <c r="A316"/>
  <c r="AI315"/>
  <c r="AH315"/>
  <c r="AG315"/>
  <c r="AF315"/>
  <c r="AA315"/>
  <c r="Z315"/>
  <c r="Y315"/>
  <c r="X315"/>
  <c r="T315"/>
  <c r="S315"/>
  <c r="U315" s="1"/>
  <c r="Q315"/>
  <c r="H315"/>
  <c r="P315" s="1"/>
  <c r="G315"/>
  <c r="O315" s="1"/>
  <c r="F315"/>
  <c r="E315"/>
  <c r="D315"/>
  <c r="C315"/>
  <c r="B315"/>
  <c r="A315"/>
  <c r="AI314"/>
  <c r="AH314"/>
  <c r="AG314"/>
  <c r="AF314"/>
  <c r="AA314"/>
  <c r="Z314"/>
  <c r="Y314"/>
  <c r="X314"/>
  <c r="AB314" s="1"/>
  <c r="W314"/>
  <c r="T314"/>
  <c r="S314"/>
  <c r="U314" s="1"/>
  <c r="V314" s="1"/>
  <c r="R314"/>
  <c r="P314"/>
  <c r="H314"/>
  <c r="Q314" s="1"/>
  <c r="G314"/>
  <c r="F314"/>
  <c r="O314" s="1"/>
  <c r="E314"/>
  <c r="D314"/>
  <c r="C314"/>
  <c r="B314"/>
  <c r="A314"/>
  <c r="AI313"/>
  <c r="AH313"/>
  <c r="AG313"/>
  <c r="AF313"/>
  <c r="AA313"/>
  <c r="Z313"/>
  <c r="Y313"/>
  <c r="X313"/>
  <c r="AB313" s="1"/>
  <c r="W313"/>
  <c r="V313"/>
  <c r="T313"/>
  <c r="S313"/>
  <c r="U313" s="1"/>
  <c r="R313"/>
  <c r="Q313"/>
  <c r="O313"/>
  <c r="H313"/>
  <c r="P313" s="1"/>
  <c r="G313"/>
  <c r="F313"/>
  <c r="I313" s="1"/>
  <c r="E313"/>
  <c r="D313"/>
  <c r="C313"/>
  <c r="B313"/>
  <c r="A313"/>
  <c r="AI312"/>
  <c r="AH312"/>
  <c r="AG312"/>
  <c r="AF312"/>
  <c r="AB312"/>
  <c r="AC312" s="1"/>
  <c r="AA312"/>
  <c r="Z312"/>
  <c r="Y312"/>
  <c r="X312"/>
  <c r="V312"/>
  <c r="U312"/>
  <c r="W312" s="1"/>
  <c r="T312"/>
  <c r="S312"/>
  <c r="R312"/>
  <c r="Q312"/>
  <c r="P312"/>
  <c r="I312"/>
  <c r="J312" s="1"/>
  <c r="H312"/>
  <c r="G312"/>
  <c r="F312"/>
  <c r="O312" s="1"/>
  <c r="E312"/>
  <c r="D312"/>
  <c r="C312"/>
  <c r="B312"/>
  <c r="A312"/>
  <c r="AI311"/>
  <c r="AH311"/>
  <c r="AG311"/>
  <c r="AF311"/>
  <c r="AA311"/>
  <c r="Z311"/>
  <c r="Y311"/>
  <c r="AB311" s="1"/>
  <c r="X311"/>
  <c r="T311"/>
  <c r="U311" s="1"/>
  <c r="S311"/>
  <c r="O311"/>
  <c r="I311"/>
  <c r="H311"/>
  <c r="G311"/>
  <c r="F311"/>
  <c r="E311"/>
  <c r="D311"/>
  <c r="C311"/>
  <c r="B311"/>
  <c r="A311"/>
  <c r="AI310"/>
  <c r="AH310"/>
  <c r="AG310"/>
  <c r="AF310"/>
  <c r="AA310"/>
  <c r="Z310"/>
  <c r="Y310"/>
  <c r="X310"/>
  <c r="AB310" s="1"/>
  <c r="T310"/>
  <c r="S310"/>
  <c r="H310"/>
  <c r="G310"/>
  <c r="F310"/>
  <c r="E310"/>
  <c r="D310"/>
  <c r="C310"/>
  <c r="B310"/>
  <c r="A310"/>
  <c r="AI309"/>
  <c r="AH309"/>
  <c r="AG309"/>
  <c r="AF309"/>
  <c r="AE309"/>
  <c r="AD309"/>
  <c r="AA309"/>
  <c r="Z309"/>
  <c r="Y309"/>
  <c r="AB309" s="1"/>
  <c r="AC309" s="1"/>
  <c r="X309"/>
  <c r="T309"/>
  <c r="S309"/>
  <c r="U309" s="1"/>
  <c r="R309"/>
  <c r="H309"/>
  <c r="Q309" s="1"/>
  <c r="G309"/>
  <c r="F309"/>
  <c r="E309"/>
  <c r="D309"/>
  <c r="C309"/>
  <c r="B309"/>
  <c r="A309"/>
  <c r="AI308"/>
  <c r="AH308"/>
  <c r="AG308"/>
  <c r="AF308"/>
  <c r="AA308"/>
  <c r="Z308"/>
  <c r="Y308"/>
  <c r="X308"/>
  <c r="AB308" s="1"/>
  <c r="AE308" s="1"/>
  <c r="T308"/>
  <c r="S308"/>
  <c r="U308" s="1"/>
  <c r="R308"/>
  <c r="Q308"/>
  <c r="H308"/>
  <c r="P308" s="1"/>
  <c r="G308"/>
  <c r="F308"/>
  <c r="E308"/>
  <c r="D308"/>
  <c r="C308"/>
  <c r="B308"/>
  <c r="A308"/>
  <c r="AI307"/>
  <c r="AH307"/>
  <c r="AG307"/>
  <c r="AF307"/>
  <c r="AC307"/>
  <c r="AB307"/>
  <c r="AA307"/>
  <c r="Z307"/>
  <c r="Y307"/>
  <c r="X307"/>
  <c r="T307"/>
  <c r="S307"/>
  <c r="U307" s="1"/>
  <c r="R307"/>
  <c r="Q307"/>
  <c r="P307"/>
  <c r="H307"/>
  <c r="G307"/>
  <c r="F307"/>
  <c r="O307" s="1"/>
  <c r="E307"/>
  <c r="D307"/>
  <c r="C307"/>
  <c r="B307"/>
  <c r="A307"/>
  <c r="AI306"/>
  <c r="AH306"/>
  <c r="AG306"/>
  <c r="AF306"/>
  <c r="AA306"/>
  <c r="AB306" s="1"/>
  <c r="Z306"/>
  <c r="Y306"/>
  <c r="X306"/>
  <c r="T306"/>
  <c r="U306" s="1"/>
  <c r="S306"/>
  <c r="R306"/>
  <c r="Q306"/>
  <c r="P306"/>
  <c r="O306"/>
  <c r="H306"/>
  <c r="G306"/>
  <c r="F306"/>
  <c r="I306" s="1"/>
  <c r="E306"/>
  <c r="D306"/>
  <c r="C306"/>
  <c r="B306"/>
  <c r="A306"/>
  <c r="AI305"/>
  <c r="AH305"/>
  <c r="AG305"/>
  <c r="AF305"/>
  <c r="AA305"/>
  <c r="Z305"/>
  <c r="AB305" s="1"/>
  <c r="Y305"/>
  <c r="X305"/>
  <c r="U305"/>
  <c r="V305" s="1"/>
  <c r="T305"/>
  <c r="S305"/>
  <c r="Q305"/>
  <c r="P305"/>
  <c r="O305"/>
  <c r="N305"/>
  <c r="I305"/>
  <c r="M305" s="1"/>
  <c r="H305"/>
  <c r="R305" s="1"/>
  <c r="G305"/>
  <c r="F305"/>
  <c r="E305"/>
  <c r="D305"/>
  <c r="C305"/>
  <c r="B305"/>
  <c r="A305"/>
  <c r="AI304"/>
  <c r="AH304"/>
  <c r="AG304"/>
  <c r="AF304"/>
  <c r="AA304"/>
  <c r="Z304"/>
  <c r="Y304"/>
  <c r="AB304" s="1"/>
  <c r="X304"/>
  <c r="T304"/>
  <c r="U304" s="1"/>
  <c r="S304"/>
  <c r="O304"/>
  <c r="N304"/>
  <c r="M304"/>
  <c r="H304"/>
  <c r="P304" s="1"/>
  <c r="G304"/>
  <c r="F304"/>
  <c r="I304" s="1"/>
  <c r="E304"/>
  <c r="D304"/>
  <c r="C304"/>
  <c r="B304"/>
  <c r="A304"/>
  <c r="AI303"/>
  <c r="AH303"/>
  <c r="AG303"/>
  <c r="AF303"/>
  <c r="AA303"/>
  <c r="Z303"/>
  <c r="Y303"/>
  <c r="X303"/>
  <c r="T303"/>
  <c r="S303"/>
  <c r="U303" s="1"/>
  <c r="Q303"/>
  <c r="H303"/>
  <c r="P303" s="1"/>
  <c r="G303"/>
  <c r="O303" s="1"/>
  <c r="F303"/>
  <c r="E303"/>
  <c r="D303"/>
  <c r="C303"/>
  <c r="B303"/>
  <c r="A303"/>
  <c r="AI302"/>
  <c r="AH302"/>
  <c r="AG302"/>
  <c r="AF302"/>
  <c r="AA302"/>
  <c r="Z302"/>
  <c r="Y302"/>
  <c r="X302"/>
  <c r="AB302" s="1"/>
  <c r="W302"/>
  <c r="T302"/>
  <c r="S302"/>
  <c r="U302" s="1"/>
  <c r="V302" s="1"/>
  <c r="R302"/>
  <c r="P302"/>
  <c r="H302"/>
  <c r="Q302" s="1"/>
  <c r="G302"/>
  <c r="F302"/>
  <c r="O302" s="1"/>
  <c r="E302"/>
  <c r="D302"/>
  <c r="C302"/>
  <c r="B302"/>
  <c r="A302"/>
  <c r="AI301"/>
  <c r="AH301"/>
  <c r="AG301"/>
  <c r="AF301"/>
  <c r="AA301"/>
  <c r="Z301"/>
  <c r="Y301"/>
  <c r="X301"/>
  <c r="AB301" s="1"/>
  <c r="W301"/>
  <c r="V301"/>
  <c r="T301"/>
  <c r="S301"/>
  <c r="U301" s="1"/>
  <c r="R301"/>
  <c r="Q301"/>
  <c r="O301"/>
  <c r="K301"/>
  <c r="J301"/>
  <c r="H301"/>
  <c r="P301" s="1"/>
  <c r="G301"/>
  <c r="F301"/>
  <c r="I301" s="1"/>
  <c r="E301"/>
  <c r="D301"/>
  <c r="C301"/>
  <c r="B301"/>
  <c r="A301"/>
  <c r="AI300"/>
  <c r="AH300"/>
  <c r="AG300"/>
  <c r="AF300"/>
  <c r="AB300"/>
  <c r="AC300" s="1"/>
  <c r="AA300"/>
  <c r="Z300"/>
  <c r="Y300"/>
  <c r="X300"/>
  <c r="U300"/>
  <c r="W300" s="1"/>
  <c r="T300"/>
  <c r="S300"/>
  <c r="R300"/>
  <c r="Q300"/>
  <c r="P300"/>
  <c r="J300"/>
  <c r="I300"/>
  <c r="H300"/>
  <c r="G300"/>
  <c r="F300"/>
  <c r="O300" s="1"/>
  <c r="E300"/>
  <c r="D300"/>
  <c r="C300"/>
  <c r="B300"/>
  <c r="A300"/>
  <c r="AI299"/>
  <c r="AH299"/>
  <c r="AG299"/>
  <c r="AF299"/>
  <c r="AA299"/>
  <c r="Z299"/>
  <c r="Y299"/>
  <c r="AB299" s="1"/>
  <c r="X299"/>
  <c r="T299"/>
  <c r="U299" s="1"/>
  <c r="S299"/>
  <c r="O299"/>
  <c r="I299"/>
  <c r="H299"/>
  <c r="G299"/>
  <c r="F299"/>
  <c r="E299"/>
  <c r="D299"/>
  <c r="C299"/>
  <c r="B299"/>
  <c r="A299"/>
  <c r="AI298"/>
  <c r="AH298"/>
  <c r="AG298"/>
  <c r="AF298"/>
  <c r="AA298"/>
  <c r="Z298"/>
  <c r="Y298"/>
  <c r="X298"/>
  <c r="AB298" s="1"/>
  <c r="AE298" s="1"/>
  <c r="T298"/>
  <c r="S298"/>
  <c r="H298"/>
  <c r="G298"/>
  <c r="F298"/>
  <c r="E298"/>
  <c r="D298"/>
  <c r="C298"/>
  <c r="B298"/>
  <c r="A298"/>
  <c r="AI297"/>
  <c r="AH297"/>
  <c r="AG297"/>
  <c r="AF297"/>
  <c r="AD297"/>
  <c r="AA297"/>
  <c r="Z297"/>
  <c r="Y297"/>
  <c r="AB297" s="1"/>
  <c r="AC297" s="1"/>
  <c r="X297"/>
  <c r="T297"/>
  <c r="S297"/>
  <c r="U297" s="1"/>
  <c r="R297"/>
  <c r="H297"/>
  <c r="Q297" s="1"/>
  <c r="G297"/>
  <c r="F297"/>
  <c r="E297"/>
  <c r="D297"/>
  <c r="C297"/>
  <c r="B297"/>
  <c r="A297"/>
  <c r="AI296"/>
  <c r="AH296"/>
  <c r="AG296"/>
  <c r="AF296"/>
  <c r="AD296"/>
  <c r="AC296"/>
  <c r="AA296"/>
  <c r="Z296"/>
  <c r="Y296"/>
  <c r="X296"/>
  <c r="AB296" s="1"/>
  <c r="AE296" s="1"/>
  <c r="T296"/>
  <c r="S296"/>
  <c r="U296" s="1"/>
  <c r="R296"/>
  <c r="Q296"/>
  <c r="H296"/>
  <c r="P296" s="1"/>
  <c r="G296"/>
  <c r="F296"/>
  <c r="E296"/>
  <c r="D296"/>
  <c r="C296"/>
  <c r="B296"/>
  <c r="A296"/>
  <c r="AI295"/>
  <c r="AH295"/>
  <c r="AG295"/>
  <c r="AF295"/>
  <c r="AB295"/>
  <c r="AC295" s="1"/>
  <c r="AA295"/>
  <c r="Z295"/>
  <c r="Y295"/>
  <c r="X295"/>
  <c r="T295"/>
  <c r="S295"/>
  <c r="U295" s="1"/>
  <c r="R295"/>
  <c r="Q295"/>
  <c r="P295"/>
  <c r="H295"/>
  <c r="G295"/>
  <c r="F295"/>
  <c r="O295" s="1"/>
  <c r="E295"/>
  <c r="D295"/>
  <c r="C295"/>
  <c r="B295"/>
  <c r="A295"/>
  <c r="AI294"/>
  <c r="AH294"/>
  <c r="AG294"/>
  <c r="AF294"/>
  <c r="AB294"/>
  <c r="AA294"/>
  <c r="Z294"/>
  <c r="Y294"/>
  <c r="X294"/>
  <c r="T294"/>
  <c r="U294" s="1"/>
  <c r="S294"/>
  <c r="R294"/>
  <c r="Q294"/>
  <c r="P294"/>
  <c r="O294"/>
  <c r="H294"/>
  <c r="G294"/>
  <c r="F294"/>
  <c r="I294" s="1"/>
  <c r="E294"/>
  <c r="D294"/>
  <c r="C294"/>
  <c r="B294"/>
  <c r="A294"/>
  <c r="AI293"/>
  <c r="AH293"/>
  <c r="AG293"/>
  <c r="AF293"/>
  <c r="AA293"/>
  <c r="Z293"/>
  <c r="Y293"/>
  <c r="X293"/>
  <c r="U293"/>
  <c r="V293" s="1"/>
  <c r="T293"/>
  <c r="S293"/>
  <c r="Q293"/>
  <c r="P293"/>
  <c r="O293"/>
  <c r="N293"/>
  <c r="I293"/>
  <c r="M293" s="1"/>
  <c r="H293"/>
  <c r="R293" s="1"/>
  <c r="G293"/>
  <c r="F293"/>
  <c r="E293"/>
  <c r="D293"/>
  <c r="C293"/>
  <c r="B293"/>
  <c r="A293"/>
  <c r="AI292"/>
  <c r="AH292"/>
  <c r="AG292"/>
  <c r="AF292"/>
  <c r="AA292"/>
  <c r="Z292"/>
  <c r="Y292"/>
  <c r="X292"/>
  <c r="T292"/>
  <c r="U292" s="1"/>
  <c r="S292"/>
  <c r="O292"/>
  <c r="M292"/>
  <c r="H292"/>
  <c r="P292" s="1"/>
  <c r="G292"/>
  <c r="F292"/>
  <c r="I292" s="1"/>
  <c r="E292"/>
  <c r="D292"/>
  <c r="C292"/>
  <c r="B292"/>
  <c r="A292"/>
  <c r="AI291"/>
  <c r="AH291"/>
  <c r="AG291"/>
  <c r="AF291"/>
  <c r="AA291"/>
  <c r="Z291"/>
  <c r="Y291"/>
  <c r="X291"/>
  <c r="AB291" s="1"/>
  <c r="T291"/>
  <c r="S291"/>
  <c r="U291" s="1"/>
  <c r="H291"/>
  <c r="P291" s="1"/>
  <c r="G291"/>
  <c r="O291" s="1"/>
  <c r="F291"/>
  <c r="E291"/>
  <c r="D291"/>
  <c r="C291"/>
  <c r="B291"/>
  <c r="A291"/>
  <c r="AI290"/>
  <c r="AH290"/>
  <c r="AG290"/>
  <c r="AF290"/>
  <c r="AA290"/>
  <c r="Z290"/>
  <c r="Y290"/>
  <c r="X290"/>
  <c r="AB290" s="1"/>
  <c r="W290"/>
  <c r="T290"/>
  <c r="S290"/>
  <c r="U290" s="1"/>
  <c r="V290" s="1"/>
  <c r="R290"/>
  <c r="P290"/>
  <c r="H290"/>
  <c r="Q290" s="1"/>
  <c r="G290"/>
  <c r="F290"/>
  <c r="O290" s="1"/>
  <c r="E290"/>
  <c r="D290"/>
  <c r="C290"/>
  <c r="B290"/>
  <c r="A290"/>
  <c r="AI289"/>
  <c r="AH289"/>
  <c r="AG289"/>
  <c r="AF289"/>
  <c r="AA289"/>
  <c r="Z289"/>
  <c r="Y289"/>
  <c r="X289"/>
  <c r="AB289" s="1"/>
  <c r="V289"/>
  <c r="T289"/>
  <c r="S289"/>
  <c r="U289" s="1"/>
  <c r="W289" s="1"/>
  <c r="R289"/>
  <c r="Q289"/>
  <c r="O289"/>
  <c r="K289"/>
  <c r="J289"/>
  <c r="H289"/>
  <c r="P289" s="1"/>
  <c r="G289"/>
  <c r="F289"/>
  <c r="I289" s="1"/>
  <c r="E289"/>
  <c r="D289"/>
  <c r="C289"/>
  <c r="B289"/>
  <c r="A289"/>
  <c r="AI288"/>
  <c r="AH288"/>
  <c r="AG288"/>
  <c r="AF288"/>
  <c r="AB288"/>
  <c r="AC288" s="1"/>
  <c r="AA288"/>
  <c r="Z288"/>
  <c r="Y288"/>
  <c r="X288"/>
  <c r="U288"/>
  <c r="W288" s="1"/>
  <c r="T288"/>
  <c r="S288"/>
  <c r="R288"/>
  <c r="Q288"/>
  <c r="P288"/>
  <c r="J288"/>
  <c r="I288"/>
  <c r="H288"/>
  <c r="G288"/>
  <c r="F288"/>
  <c r="O288" s="1"/>
  <c r="E288"/>
  <c r="D288"/>
  <c r="C288"/>
  <c r="B288"/>
  <c r="A288"/>
  <c r="AI287"/>
  <c r="AH287"/>
  <c r="AG287"/>
  <c r="AF287"/>
  <c r="AA287"/>
  <c r="AB287" s="1"/>
  <c r="Z287"/>
  <c r="Y287"/>
  <c r="X287"/>
  <c r="T287"/>
  <c r="U287" s="1"/>
  <c r="S287"/>
  <c r="O287"/>
  <c r="I287"/>
  <c r="H287"/>
  <c r="G287"/>
  <c r="F287"/>
  <c r="E287"/>
  <c r="D287"/>
  <c r="C287"/>
  <c r="B287"/>
  <c r="A287"/>
  <c r="AI286"/>
  <c r="AH286"/>
  <c r="AG286"/>
  <c r="AF286"/>
  <c r="AE286"/>
  <c r="AA286"/>
  <c r="Z286"/>
  <c r="Y286"/>
  <c r="X286"/>
  <c r="AB286" s="1"/>
  <c r="T286"/>
  <c r="S286"/>
  <c r="H286"/>
  <c r="G286"/>
  <c r="F286"/>
  <c r="E286"/>
  <c r="D286"/>
  <c r="C286"/>
  <c r="B286"/>
  <c r="A286"/>
  <c r="AI285"/>
  <c r="AH285"/>
  <c r="AG285"/>
  <c r="AF285"/>
  <c r="AE285"/>
  <c r="AD285"/>
  <c r="AA285"/>
  <c r="Z285"/>
  <c r="Y285"/>
  <c r="AB285" s="1"/>
  <c r="AC285" s="1"/>
  <c r="X285"/>
  <c r="T285"/>
  <c r="S285"/>
  <c r="U285" s="1"/>
  <c r="R285"/>
  <c r="H285"/>
  <c r="Q285" s="1"/>
  <c r="G285"/>
  <c r="F285"/>
  <c r="E285"/>
  <c r="D285"/>
  <c r="C285"/>
  <c r="B285"/>
  <c r="A285"/>
  <c r="AI284"/>
  <c r="AH284"/>
  <c r="AG284"/>
  <c r="AF284"/>
  <c r="AD284"/>
  <c r="AC284"/>
  <c r="AA284"/>
  <c r="Z284"/>
  <c r="Y284"/>
  <c r="X284"/>
  <c r="AB284" s="1"/>
  <c r="AE284" s="1"/>
  <c r="T284"/>
  <c r="S284"/>
  <c r="U284" s="1"/>
  <c r="R284"/>
  <c r="Q284"/>
  <c r="H284"/>
  <c r="P284" s="1"/>
  <c r="G284"/>
  <c r="F284"/>
  <c r="E284"/>
  <c r="D284"/>
  <c r="C284"/>
  <c r="B284"/>
  <c r="A284"/>
  <c r="AI283"/>
  <c r="AH283"/>
  <c r="AG283"/>
  <c r="AF283"/>
  <c r="AC283"/>
  <c r="AB283"/>
  <c r="AA283"/>
  <c r="Z283"/>
  <c r="Y283"/>
  <c r="X283"/>
  <c r="U283"/>
  <c r="V283" s="1"/>
  <c r="T283"/>
  <c r="S283"/>
  <c r="R283"/>
  <c r="Q283"/>
  <c r="P283"/>
  <c r="H283"/>
  <c r="G283"/>
  <c r="F283"/>
  <c r="O283" s="1"/>
  <c r="E283"/>
  <c r="D283"/>
  <c r="C283"/>
  <c r="B283"/>
  <c r="A283"/>
  <c r="AI282"/>
  <c r="AH282"/>
  <c r="AG282"/>
  <c r="AF282"/>
  <c r="AB282"/>
  <c r="AA282"/>
  <c r="Z282"/>
  <c r="Y282"/>
  <c r="X282"/>
  <c r="T282"/>
  <c r="S282"/>
  <c r="U282" s="1"/>
  <c r="Q282"/>
  <c r="P282"/>
  <c r="O282"/>
  <c r="H282"/>
  <c r="R282" s="1"/>
  <c r="G282"/>
  <c r="F282"/>
  <c r="I282" s="1"/>
  <c r="E282"/>
  <c r="D282"/>
  <c r="C282"/>
  <c r="B282"/>
  <c r="A282"/>
  <c r="AI281"/>
  <c r="AH281"/>
  <c r="AG281"/>
  <c r="AF281"/>
  <c r="AA281"/>
  <c r="Z281"/>
  <c r="AB281" s="1"/>
  <c r="Y281"/>
  <c r="X281"/>
  <c r="T281"/>
  <c r="S281"/>
  <c r="U281" s="1"/>
  <c r="R281"/>
  <c r="Q281"/>
  <c r="P281"/>
  <c r="O281"/>
  <c r="H281"/>
  <c r="G281"/>
  <c r="I281" s="1"/>
  <c r="N281" s="1"/>
  <c r="F281"/>
  <c r="E281"/>
  <c r="D281"/>
  <c r="C281"/>
  <c r="B281"/>
  <c r="A281"/>
  <c r="AI280"/>
  <c r="AH280"/>
  <c r="AG280"/>
  <c r="AF280"/>
  <c r="AA280"/>
  <c r="Z280"/>
  <c r="Y280"/>
  <c r="AB280" s="1"/>
  <c r="X280"/>
  <c r="T280"/>
  <c r="U280" s="1"/>
  <c r="S280"/>
  <c r="R280"/>
  <c r="O280"/>
  <c r="N280"/>
  <c r="M280"/>
  <c r="H280"/>
  <c r="P280" s="1"/>
  <c r="G280"/>
  <c r="F280"/>
  <c r="I280" s="1"/>
  <c r="E280"/>
  <c r="D280"/>
  <c r="C280"/>
  <c r="B280"/>
  <c r="A280"/>
  <c r="AI279"/>
  <c r="AH279"/>
  <c r="AG279"/>
  <c r="AF279"/>
  <c r="AA279"/>
  <c r="Z279"/>
  <c r="Y279"/>
  <c r="X279"/>
  <c r="AB279" s="1"/>
  <c r="T279"/>
  <c r="S279"/>
  <c r="U279" s="1"/>
  <c r="Q279"/>
  <c r="H279"/>
  <c r="P279" s="1"/>
  <c r="G279"/>
  <c r="O279" s="1"/>
  <c r="F279"/>
  <c r="E279"/>
  <c r="D279"/>
  <c r="C279"/>
  <c r="B279"/>
  <c r="A279"/>
  <c r="AI278"/>
  <c r="AH278"/>
  <c r="AG278"/>
  <c r="AF278"/>
  <c r="AA278"/>
  <c r="Z278"/>
  <c r="Y278"/>
  <c r="X278"/>
  <c r="AB278" s="1"/>
  <c r="T278"/>
  <c r="S278"/>
  <c r="U278" s="1"/>
  <c r="V278" s="1"/>
  <c r="R278"/>
  <c r="P278"/>
  <c r="H278"/>
  <c r="Q278" s="1"/>
  <c r="G278"/>
  <c r="F278"/>
  <c r="O278" s="1"/>
  <c r="E278"/>
  <c r="D278"/>
  <c r="C278"/>
  <c r="B278"/>
  <c r="A278"/>
  <c r="AI277"/>
  <c r="AH277"/>
  <c r="AG277"/>
  <c r="AF277"/>
  <c r="AA277"/>
  <c r="Z277"/>
  <c r="Y277"/>
  <c r="X277"/>
  <c r="AB277" s="1"/>
  <c r="T277"/>
  <c r="S277"/>
  <c r="U277" s="1"/>
  <c r="V277" s="1"/>
  <c r="R277"/>
  <c r="Q277"/>
  <c r="O277"/>
  <c r="H277"/>
  <c r="P277" s="1"/>
  <c r="G277"/>
  <c r="F277"/>
  <c r="I277" s="1"/>
  <c r="J277" s="1"/>
  <c r="E277"/>
  <c r="D277"/>
  <c r="C277"/>
  <c r="B277"/>
  <c r="A277"/>
  <c r="AI276"/>
  <c r="AH276"/>
  <c r="AG276"/>
  <c r="AF276"/>
  <c r="AA276"/>
  <c r="Z276"/>
  <c r="AB276" s="1"/>
  <c r="Y276"/>
  <c r="X276"/>
  <c r="U276"/>
  <c r="W276" s="1"/>
  <c r="T276"/>
  <c r="S276"/>
  <c r="R276"/>
  <c r="Q276"/>
  <c r="P276"/>
  <c r="J276"/>
  <c r="I276"/>
  <c r="H276"/>
  <c r="G276"/>
  <c r="F276"/>
  <c r="O276" s="1"/>
  <c r="E276"/>
  <c r="D276"/>
  <c r="C276"/>
  <c r="B276"/>
  <c r="A276"/>
  <c r="AI275"/>
  <c r="AH275"/>
  <c r="AG275"/>
  <c r="AF275"/>
  <c r="AA275"/>
  <c r="Z275"/>
  <c r="Y275"/>
  <c r="AB275" s="1"/>
  <c r="X275"/>
  <c r="T275"/>
  <c r="U275" s="1"/>
  <c r="S275"/>
  <c r="O275"/>
  <c r="I275"/>
  <c r="H275"/>
  <c r="G275"/>
  <c r="F275"/>
  <c r="E275"/>
  <c r="D275"/>
  <c r="C275"/>
  <c r="B275"/>
  <c r="A275"/>
  <c r="AI274"/>
  <c r="AH274"/>
  <c r="AG274"/>
  <c r="AF274"/>
  <c r="AA274"/>
  <c r="Z274"/>
  <c r="Y274"/>
  <c r="X274"/>
  <c r="AB274" s="1"/>
  <c r="AE274" s="1"/>
  <c r="T274"/>
  <c r="S274"/>
  <c r="H274"/>
  <c r="G274"/>
  <c r="F274"/>
  <c r="E274"/>
  <c r="D274"/>
  <c r="C274"/>
  <c r="B274"/>
  <c r="A274"/>
  <c r="AI273"/>
  <c r="AH273"/>
  <c r="AG273"/>
  <c r="AF273"/>
  <c r="AE273"/>
  <c r="AD273"/>
  <c r="AA273"/>
  <c r="Z273"/>
  <c r="Y273"/>
  <c r="AB273" s="1"/>
  <c r="AC273" s="1"/>
  <c r="X273"/>
  <c r="T273"/>
  <c r="S273"/>
  <c r="U273" s="1"/>
  <c r="R273"/>
  <c r="H273"/>
  <c r="Q273" s="1"/>
  <c r="G273"/>
  <c r="F273"/>
  <c r="E273"/>
  <c r="D273"/>
  <c r="C273"/>
  <c r="B273"/>
  <c r="A273"/>
  <c r="AI272"/>
  <c r="AH272"/>
  <c r="AG272"/>
  <c r="AF272"/>
  <c r="AA272"/>
  <c r="Z272"/>
  <c r="Y272"/>
  <c r="X272"/>
  <c r="AB272" s="1"/>
  <c r="AE272" s="1"/>
  <c r="T272"/>
  <c r="S272"/>
  <c r="U272" s="1"/>
  <c r="R272"/>
  <c r="Q272"/>
  <c r="H272"/>
  <c r="P272" s="1"/>
  <c r="G272"/>
  <c r="F272"/>
  <c r="E272"/>
  <c r="D272"/>
  <c r="C272"/>
  <c r="B272"/>
  <c r="A272"/>
  <c r="AI271"/>
  <c r="AH271"/>
  <c r="AG271"/>
  <c r="AF271"/>
  <c r="AB271"/>
  <c r="AC271" s="1"/>
  <c r="AA271"/>
  <c r="Z271"/>
  <c r="Y271"/>
  <c r="X271"/>
  <c r="U271"/>
  <c r="V271" s="1"/>
  <c r="T271"/>
  <c r="S271"/>
  <c r="R271"/>
  <c r="Q271"/>
  <c r="P271"/>
  <c r="H271"/>
  <c r="G271"/>
  <c r="F271"/>
  <c r="O271" s="1"/>
  <c r="E271"/>
  <c r="D271"/>
  <c r="C271"/>
  <c r="B271"/>
  <c r="A271"/>
  <c r="AI270"/>
  <c r="AH270"/>
  <c r="AG270"/>
  <c r="AF270"/>
  <c r="AB270"/>
  <c r="AA270"/>
  <c r="Z270"/>
  <c r="Y270"/>
  <c r="X270"/>
  <c r="T270"/>
  <c r="S270"/>
  <c r="U270" s="1"/>
  <c r="Q270"/>
  <c r="P270"/>
  <c r="O270"/>
  <c r="H270"/>
  <c r="R270" s="1"/>
  <c r="G270"/>
  <c r="F270"/>
  <c r="I270" s="1"/>
  <c r="E270"/>
  <c r="D270"/>
  <c r="C270"/>
  <c r="B270"/>
  <c r="A270"/>
  <c r="AI269"/>
  <c r="AH269"/>
  <c r="AG269"/>
  <c r="AF269"/>
  <c r="AA269"/>
  <c r="Z269"/>
  <c r="AB269" s="1"/>
  <c r="Y269"/>
  <c r="X269"/>
  <c r="T269"/>
  <c r="S269"/>
  <c r="U269" s="1"/>
  <c r="R269"/>
  <c r="Q269"/>
  <c r="P269"/>
  <c r="O269"/>
  <c r="H269"/>
  <c r="G269"/>
  <c r="I269" s="1"/>
  <c r="F269"/>
  <c r="E269"/>
  <c r="D269"/>
  <c r="C269"/>
  <c r="B269"/>
  <c r="A269"/>
  <c r="AI268"/>
  <c r="AH268"/>
  <c r="AG268"/>
  <c r="AF268"/>
  <c r="AA268"/>
  <c r="Z268"/>
  <c r="Y268"/>
  <c r="AB268" s="1"/>
  <c r="X268"/>
  <c r="T268"/>
  <c r="U268" s="1"/>
  <c r="S268"/>
  <c r="R268"/>
  <c r="O268"/>
  <c r="N268"/>
  <c r="M268"/>
  <c r="H268"/>
  <c r="P268" s="1"/>
  <c r="G268"/>
  <c r="F268"/>
  <c r="I268" s="1"/>
  <c r="E268"/>
  <c r="D268"/>
  <c r="C268"/>
  <c r="B268"/>
  <c r="A268"/>
  <c r="AI267"/>
  <c r="AH267"/>
  <c r="AG267"/>
  <c r="AF267"/>
  <c r="AA267"/>
  <c r="Z267"/>
  <c r="Y267"/>
  <c r="X267"/>
  <c r="AB267" s="1"/>
  <c r="T267"/>
  <c r="S267"/>
  <c r="U267" s="1"/>
  <c r="Q267"/>
  <c r="H267"/>
  <c r="P267" s="1"/>
  <c r="G267"/>
  <c r="O267" s="1"/>
  <c r="F267"/>
  <c r="E267"/>
  <c r="D267"/>
  <c r="C267"/>
  <c r="B267"/>
  <c r="A267"/>
  <c r="AI266"/>
  <c r="AH266"/>
  <c r="AG266"/>
  <c r="AF266"/>
  <c r="AA266"/>
  <c r="Z266"/>
  <c r="Y266"/>
  <c r="X266"/>
  <c r="AB266" s="1"/>
  <c r="T266"/>
  <c r="S266"/>
  <c r="U266" s="1"/>
  <c r="V266" s="1"/>
  <c r="R266"/>
  <c r="P266"/>
  <c r="H266"/>
  <c r="Q266" s="1"/>
  <c r="G266"/>
  <c r="F266"/>
  <c r="O266" s="1"/>
  <c r="E266"/>
  <c r="D266"/>
  <c r="C266"/>
  <c r="B266"/>
  <c r="A266"/>
  <c r="AI265"/>
  <c r="AH265"/>
  <c r="AG265"/>
  <c r="AF265"/>
  <c r="AA265"/>
  <c r="Z265"/>
  <c r="Y265"/>
  <c r="X265"/>
  <c r="AB265" s="1"/>
  <c r="W265"/>
  <c r="T265"/>
  <c r="S265"/>
  <c r="U265" s="1"/>
  <c r="V265" s="1"/>
  <c r="R265"/>
  <c r="Q265"/>
  <c r="O265"/>
  <c r="H265"/>
  <c r="P265" s="1"/>
  <c r="G265"/>
  <c r="F265"/>
  <c r="I265" s="1"/>
  <c r="J265" s="1"/>
  <c r="E265"/>
  <c r="D265"/>
  <c r="C265"/>
  <c r="B265"/>
  <c r="A265"/>
  <c r="AI264"/>
  <c r="AH264"/>
  <c r="AG264"/>
  <c r="AF264"/>
  <c r="AA264"/>
  <c r="Z264"/>
  <c r="AB264" s="1"/>
  <c r="Y264"/>
  <c r="X264"/>
  <c r="U264"/>
  <c r="W264" s="1"/>
  <c r="T264"/>
  <c r="S264"/>
  <c r="R264"/>
  <c r="Q264"/>
  <c r="P264"/>
  <c r="J264"/>
  <c r="I264"/>
  <c r="H264"/>
  <c r="G264"/>
  <c r="F264"/>
  <c r="O264" s="1"/>
  <c r="E264"/>
  <c r="D264"/>
  <c r="C264"/>
  <c r="B264"/>
  <c r="A264"/>
  <c r="AI263"/>
  <c r="AH263"/>
  <c r="AG263"/>
  <c r="AF263"/>
  <c r="AA263"/>
  <c r="Z263"/>
  <c r="Y263"/>
  <c r="AB263" s="1"/>
  <c r="X263"/>
  <c r="T263"/>
  <c r="U263" s="1"/>
  <c r="S263"/>
  <c r="O263"/>
  <c r="I263"/>
  <c r="H263"/>
  <c r="G263"/>
  <c r="F263"/>
  <c r="E263"/>
  <c r="D263"/>
  <c r="C263"/>
  <c r="B263"/>
  <c r="A263"/>
  <c r="AI262"/>
  <c r="AH262"/>
  <c r="AG262"/>
  <c r="AF262"/>
  <c r="AA262"/>
  <c r="Z262"/>
  <c r="Y262"/>
  <c r="X262"/>
  <c r="AB262" s="1"/>
  <c r="AE262" s="1"/>
  <c r="T262"/>
  <c r="S262"/>
  <c r="H262"/>
  <c r="G262"/>
  <c r="F262"/>
  <c r="E262"/>
  <c r="D262"/>
  <c r="C262"/>
  <c r="B262"/>
  <c r="A262"/>
  <c r="AI261"/>
  <c r="AH261"/>
  <c r="AG261"/>
  <c r="AF261"/>
  <c r="AD261"/>
  <c r="AA261"/>
  <c r="Z261"/>
  <c r="Y261"/>
  <c r="AB261" s="1"/>
  <c r="AC261" s="1"/>
  <c r="X261"/>
  <c r="T261"/>
  <c r="S261"/>
  <c r="U261" s="1"/>
  <c r="R261"/>
  <c r="H261"/>
  <c r="Q261" s="1"/>
  <c r="G261"/>
  <c r="F261"/>
  <c r="E261"/>
  <c r="D261"/>
  <c r="C261"/>
  <c r="B261"/>
  <c r="A261"/>
  <c r="AI260"/>
  <c r="AH260"/>
  <c r="AG260"/>
  <c r="AF260"/>
  <c r="AD260"/>
  <c r="AC260"/>
  <c r="AA260"/>
  <c r="Z260"/>
  <c r="Y260"/>
  <c r="X260"/>
  <c r="AB260" s="1"/>
  <c r="AE260" s="1"/>
  <c r="T260"/>
  <c r="S260"/>
  <c r="U260" s="1"/>
  <c r="R260"/>
  <c r="Q260"/>
  <c r="H260"/>
  <c r="P260" s="1"/>
  <c r="G260"/>
  <c r="F260"/>
  <c r="E260"/>
  <c r="D260"/>
  <c r="C260"/>
  <c r="B260"/>
  <c r="A260"/>
  <c r="AI259"/>
  <c r="AH259"/>
  <c r="AG259"/>
  <c r="AF259"/>
  <c r="AB259"/>
  <c r="AC259" s="1"/>
  <c r="AA259"/>
  <c r="Z259"/>
  <c r="Y259"/>
  <c r="X259"/>
  <c r="U259"/>
  <c r="V259" s="1"/>
  <c r="T259"/>
  <c r="S259"/>
  <c r="R259"/>
  <c r="Q259"/>
  <c r="P259"/>
  <c r="H259"/>
  <c r="G259"/>
  <c r="F259"/>
  <c r="O259" s="1"/>
  <c r="E259"/>
  <c r="D259"/>
  <c r="C259"/>
  <c r="B259"/>
  <c r="A259"/>
  <c r="AI258"/>
  <c r="AH258"/>
  <c r="AG258"/>
  <c r="AF258"/>
  <c r="AA258"/>
  <c r="AB258" s="1"/>
  <c r="Z258"/>
  <c r="Y258"/>
  <c r="X258"/>
  <c r="T258"/>
  <c r="S258"/>
  <c r="U258" s="1"/>
  <c r="Q258"/>
  <c r="P258"/>
  <c r="O258"/>
  <c r="H258"/>
  <c r="R258" s="1"/>
  <c r="G258"/>
  <c r="F258"/>
  <c r="I258" s="1"/>
  <c r="E258"/>
  <c r="D258"/>
  <c r="C258"/>
  <c r="B258"/>
  <c r="A258"/>
  <c r="AI257"/>
  <c r="AH257"/>
  <c r="AG257"/>
  <c r="AF257"/>
  <c r="AA257"/>
  <c r="Z257"/>
  <c r="Y257"/>
  <c r="X257"/>
  <c r="T257"/>
  <c r="S257"/>
  <c r="U257" s="1"/>
  <c r="R257"/>
  <c r="Q257"/>
  <c r="P257"/>
  <c r="O257"/>
  <c r="H257"/>
  <c r="G257"/>
  <c r="I257" s="1"/>
  <c r="N257" s="1"/>
  <c r="F257"/>
  <c r="E257"/>
  <c r="D257"/>
  <c r="C257"/>
  <c r="B257"/>
  <c r="A257"/>
  <c r="AI256"/>
  <c r="AH256"/>
  <c r="AG256"/>
  <c r="AF256"/>
  <c r="AA256"/>
  <c r="Z256"/>
  <c r="Y256"/>
  <c r="X256"/>
  <c r="T256"/>
  <c r="U256" s="1"/>
  <c r="S256"/>
  <c r="R256"/>
  <c r="O256"/>
  <c r="M256"/>
  <c r="H256"/>
  <c r="P256" s="1"/>
  <c r="G256"/>
  <c r="F256"/>
  <c r="I256" s="1"/>
  <c r="E256"/>
  <c r="D256"/>
  <c r="C256"/>
  <c r="B256"/>
  <c r="A256"/>
  <c r="AI255"/>
  <c r="AH255"/>
  <c r="AG255"/>
  <c r="AF255"/>
  <c r="AA255"/>
  <c r="Z255"/>
  <c r="Y255"/>
  <c r="X255"/>
  <c r="AB255" s="1"/>
  <c r="T255"/>
  <c r="S255"/>
  <c r="U255" s="1"/>
  <c r="Q255"/>
  <c r="H255"/>
  <c r="P255" s="1"/>
  <c r="G255"/>
  <c r="O255" s="1"/>
  <c r="F255"/>
  <c r="E255"/>
  <c r="D255"/>
  <c r="C255"/>
  <c r="B255"/>
  <c r="A255"/>
  <c r="AI254"/>
  <c r="AH254"/>
  <c r="AG254"/>
  <c r="AF254"/>
  <c r="AA254"/>
  <c r="Z254"/>
  <c r="Y254"/>
  <c r="X254"/>
  <c r="AB254" s="1"/>
  <c r="T254"/>
  <c r="S254"/>
  <c r="U254" s="1"/>
  <c r="V254" s="1"/>
  <c r="R254"/>
  <c r="P254"/>
  <c r="H254"/>
  <c r="Q254" s="1"/>
  <c r="G254"/>
  <c r="F254"/>
  <c r="O254" s="1"/>
  <c r="E254"/>
  <c r="D254"/>
  <c r="C254"/>
  <c r="B254"/>
  <c r="A254"/>
  <c r="AI253"/>
  <c r="AH253"/>
  <c r="AG253"/>
  <c r="AF253"/>
  <c r="AA253"/>
  <c r="Z253"/>
  <c r="Y253"/>
  <c r="X253"/>
  <c r="AB253" s="1"/>
  <c r="T253"/>
  <c r="S253"/>
  <c r="U253" s="1"/>
  <c r="V253" s="1"/>
  <c r="R253"/>
  <c r="Q253"/>
  <c r="O253"/>
  <c r="K253"/>
  <c r="J253"/>
  <c r="H253"/>
  <c r="P253" s="1"/>
  <c r="G253"/>
  <c r="F253"/>
  <c r="I253" s="1"/>
  <c r="E253"/>
  <c r="D253"/>
  <c r="C253"/>
  <c r="B253"/>
  <c r="A253"/>
  <c r="AI252"/>
  <c r="AH252"/>
  <c r="AG252"/>
  <c r="AF252"/>
  <c r="AA252"/>
  <c r="Z252"/>
  <c r="AB252" s="1"/>
  <c r="Y252"/>
  <c r="X252"/>
  <c r="V252"/>
  <c r="U252"/>
  <c r="W252" s="1"/>
  <c r="T252"/>
  <c r="S252"/>
  <c r="R252"/>
  <c r="Q252"/>
  <c r="P252"/>
  <c r="J252"/>
  <c r="I252"/>
  <c r="H252"/>
  <c r="G252"/>
  <c r="F252"/>
  <c r="O252" s="1"/>
  <c r="E252"/>
  <c r="D252"/>
  <c r="C252"/>
  <c r="B252"/>
  <c r="A252"/>
  <c r="AI251"/>
  <c r="AH251"/>
  <c r="AG251"/>
  <c r="AF251"/>
  <c r="AA251"/>
  <c r="Z251"/>
  <c r="Y251"/>
  <c r="AB251" s="1"/>
  <c r="X251"/>
  <c r="T251"/>
  <c r="U251" s="1"/>
  <c r="S251"/>
  <c r="O251"/>
  <c r="I251"/>
  <c r="H251"/>
  <c r="G251"/>
  <c r="F251"/>
  <c r="E251"/>
  <c r="D251"/>
  <c r="C251"/>
  <c r="B251"/>
  <c r="A251"/>
  <c r="AI250"/>
  <c r="AH250"/>
  <c r="AG250"/>
  <c r="AF250"/>
  <c r="AE250"/>
  <c r="AA250"/>
  <c r="Z250"/>
  <c r="Y250"/>
  <c r="X250"/>
  <c r="AB250" s="1"/>
  <c r="T250"/>
  <c r="S250"/>
  <c r="U250" s="1"/>
  <c r="H250"/>
  <c r="G250"/>
  <c r="F250"/>
  <c r="E250"/>
  <c r="D250"/>
  <c r="C250"/>
  <c r="B250"/>
  <c r="A250"/>
  <c r="AI249"/>
  <c r="AH249"/>
  <c r="AG249"/>
  <c r="AF249"/>
  <c r="AE249"/>
  <c r="AD249"/>
  <c r="AA249"/>
  <c r="Z249"/>
  <c r="Y249"/>
  <c r="AB249" s="1"/>
  <c r="AC249" s="1"/>
  <c r="X249"/>
  <c r="T249"/>
  <c r="S249"/>
  <c r="U249" s="1"/>
  <c r="R249"/>
  <c r="H249"/>
  <c r="Q249" s="1"/>
  <c r="G249"/>
  <c r="F249"/>
  <c r="E249"/>
  <c r="D249"/>
  <c r="C249"/>
  <c r="B249"/>
  <c r="A249"/>
  <c r="AI248"/>
  <c r="AH248"/>
  <c r="AG248"/>
  <c r="AF248"/>
  <c r="AD248"/>
  <c r="AC248"/>
  <c r="AA248"/>
  <c r="Z248"/>
  <c r="Y248"/>
  <c r="X248"/>
  <c r="AB248" s="1"/>
  <c r="AE248" s="1"/>
  <c r="T248"/>
  <c r="S248"/>
  <c r="U248" s="1"/>
  <c r="R248"/>
  <c r="Q248"/>
  <c r="H248"/>
  <c r="P248" s="1"/>
  <c r="G248"/>
  <c r="F248"/>
  <c r="E248"/>
  <c r="D248"/>
  <c r="C248"/>
  <c r="B248"/>
  <c r="A248"/>
  <c r="AI247"/>
  <c r="AH247"/>
  <c r="AG247"/>
  <c r="AF247"/>
  <c r="AC247"/>
  <c r="AB247"/>
  <c r="AA247"/>
  <c r="Z247"/>
  <c r="Y247"/>
  <c r="X247"/>
  <c r="U247"/>
  <c r="V247" s="1"/>
  <c r="T247"/>
  <c r="S247"/>
  <c r="R247"/>
  <c r="Q247"/>
  <c r="P247"/>
  <c r="H247"/>
  <c r="G247"/>
  <c r="F247"/>
  <c r="O247" s="1"/>
  <c r="E247"/>
  <c r="D247"/>
  <c r="C247"/>
  <c r="B247"/>
  <c r="A247"/>
  <c r="AI246"/>
  <c r="AH246"/>
  <c r="AG246"/>
  <c r="AF246"/>
  <c r="AB246"/>
  <c r="AA246"/>
  <c r="Z246"/>
  <c r="Y246"/>
  <c r="X246"/>
  <c r="T246"/>
  <c r="S246"/>
  <c r="U246" s="1"/>
  <c r="Q246"/>
  <c r="P246"/>
  <c r="O246"/>
  <c r="H246"/>
  <c r="R246" s="1"/>
  <c r="G246"/>
  <c r="F246"/>
  <c r="I246" s="1"/>
  <c r="E246"/>
  <c r="D246"/>
  <c r="C246"/>
  <c r="B246"/>
  <c r="A246"/>
  <c r="AI245"/>
  <c r="AH245"/>
  <c r="AG245"/>
  <c r="AF245"/>
  <c r="AA245"/>
  <c r="Z245"/>
  <c r="AB245" s="1"/>
  <c r="Y245"/>
  <c r="X245"/>
  <c r="T245"/>
  <c r="S245"/>
  <c r="U245" s="1"/>
  <c r="R245"/>
  <c r="Q245"/>
  <c r="P245"/>
  <c r="O245"/>
  <c r="H245"/>
  <c r="G245"/>
  <c r="I245" s="1"/>
  <c r="N245" s="1"/>
  <c r="F245"/>
  <c r="E245"/>
  <c r="D245"/>
  <c r="C245"/>
  <c r="B245"/>
  <c r="A245"/>
  <c r="AI244"/>
  <c r="AH244"/>
  <c r="AG244"/>
  <c r="AF244"/>
  <c r="AA244"/>
  <c r="Z244"/>
  <c r="Y244"/>
  <c r="AB244" s="1"/>
  <c r="X244"/>
  <c r="T244"/>
  <c r="U244" s="1"/>
  <c r="S244"/>
  <c r="R244"/>
  <c r="O244"/>
  <c r="N244"/>
  <c r="M244"/>
  <c r="H244"/>
  <c r="P244" s="1"/>
  <c r="G244"/>
  <c r="F244"/>
  <c r="I244" s="1"/>
  <c r="E244"/>
  <c r="D244"/>
  <c r="C244"/>
  <c r="B244"/>
  <c r="A244"/>
  <c r="AI243"/>
  <c r="AH243"/>
  <c r="AG243"/>
  <c r="AF243"/>
  <c r="AA243"/>
  <c r="Z243"/>
  <c r="Y243"/>
  <c r="X243"/>
  <c r="AB243" s="1"/>
  <c r="T243"/>
  <c r="S243"/>
  <c r="U243" s="1"/>
  <c r="Q243"/>
  <c r="H243"/>
  <c r="P243" s="1"/>
  <c r="G243"/>
  <c r="O243" s="1"/>
  <c r="F243"/>
  <c r="E243"/>
  <c r="D243"/>
  <c r="C243"/>
  <c r="B243"/>
  <c r="A243"/>
  <c r="AI242"/>
  <c r="AH242"/>
  <c r="AG242"/>
  <c r="AF242"/>
  <c r="AA242"/>
  <c r="Z242"/>
  <c r="Y242"/>
  <c r="X242"/>
  <c r="AB242" s="1"/>
  <c r="T242"/>
  <c r="S242"/>
  <c r="U242" s="1"/>
  <c r="V242" s="1"/>
  <c r="R242"/>
  <c r="P242"/>
  <c r="H242"/>
  <c r="Q242" s="1"/>
  <c r="G242"/>
  <c r="F242"/>
  <c r="O242" s="1"/>
  <c r="E242"/>
  <c r="D242"/>
  <c r="C242"/>
  <c r="B242"/>
  <c r="A242"/>
  <c r="AI241"/>
  <c r="AH241"/>
  <c r="AG241"/>
  <c r="AF241"/>
  <c r="AA241"/>
  <c r="Z241"/>
  <c r="Y241"/>
  <c r="X241"/>
  <c r="AB241" s="1"/>
  <c r="T241"/>
  <c r="S241"/>
  <c r="U241" s="1"/>
  <c r="V241" s="1"/>
  <c r="R241"/>
  <c r="Q241"/>
  <c r="O241"/>
  <c r="H241"/>
  <c r="P241" s="1"/>
  <c r="G241"/>
  <c r="F241"/>
  <c r="I241" s="1"/>
  <c r="J241" s="1"/>
  <c r="E241"/>
  <c r="D241"/>
  <c r="C241"/>
  <c r="B241"/>
  <c r="A241"/>
  <c r="AI240"/>
  <c r="AH240"/>
  <c r="AG240"/>
  <c r="AF240"/>
  <c r="AA240"/>
  <c r="Z240"/>
  <c r="AB240" s="1"/>
  <c r="Y240"/>
  <c r="X240"/>
  <c r="U240"/>
  <c r="W240" s="1"/>
  <c r="T240"/>
  <c r="S240"/>
  <c r="R240"/>
  <c r="Q240"/>
  <c r="P240"/>
  <c r="I240"/>
  <c r="J240" s="1"/>
  <c r="H240"/>
  <c r="G240"/>
  <c r="F240"/>
  <c r="O240" s="1"/>
  <c r="E240"/>
  <c r="D240"/>
  <c r="C240"/>
  <c r="B240"/>
  <c r="A240"/>
  <c r="AI239"/>
  <c r="AH239"/>
  <c r="AG239"/>
  <c r="AF239"/>
  <c r="AA239"/>
  <c r="Z239"/>
  <c r="Y239"/>
  <c r="AB239" s="1"/>
  <c r="X239"/>
  <c r="T239"/>
  <c r="U239" s="1"/>
  <c r="S239"/>
  <c r="O239"/>
  <c r="I239"/>
  <c r="H239"/>
  <c r="G239"/>
  <c r="F239"/>
  <c r="E239"/>
  <c r="D239"/>
  <c r="C239"/>
  <c r="B239"/>
  <c r="A239"/>
  <c r="AI238"/>
  <c r="AH238"/>
  <c r="AG238"/>
  <c r="AF238"/>
  <c r="AA238"/>
  <c r="Z238"/>
  <c r="Y238"/>
  <c r="X238"/>
  <c r="AB238" s="1"/>
  <c r="AE238" s="1"/>
  <c r="T238"/>
  <c r="S238"/>
  <c r="H238"/>
  <c r="G238"/>
  <c r="O238" s="1"/>
  <c r="F238"/>
  <c r="E238"/>
  <c r="D238"/>
  <c r="C238"/>
  <c r="B238"/>
  <c r="A238"/>
  <c r="AI237"/>
  <c r="AH237"/>
  <c r="AG237"/>
  <c r="AF237"/>
  <c r="AE237"/>
  <c r="AD237"/>
  <c r="AA237"/>
  <c r="Z237"/>
  <c r="Y237"/>
  <c r="AB237" s="1"/>
  <c r="AC237" s="1"/>
  <c r="X237"/>
  <c r="T237"/>
  <c r="S237"/>
  <c r="R237"/>
  <c r="H237"/>
  <c r="G237"/>
  <c r="F237"/>
  <c r="E237"/>
  <c r="D237"/>
  <c r="C237"/>
  <c r="B237"/>
  <c r="A237"/>
  <c r="AI236"/>
  <c r="AH236"/>
  <c r="AG236"/>
  <c r="AF236"/>
  <c r="AE236"/>
  <c r="AD236"/>
  <c r="AC236"/>
  <c r="AA236"/>
  <c r="Z236"/>
  <c r="Y236"/>
  <c r="X236"/>
  <c r="AB236" s="1"/>
  <c r="T236"/>
  <c r="S236"/>
  <c r="U236" s="1"/>
  <c r="R236"/>
  <c r="Q236"/>
  <c r="H236"/>
  <c r="P236" s="1"/>
  <c r="G236"/>
  <c r="F236"/>
  <c r="E236"/>
  <c r="D236"/>
  <c r="C236"/>
  <c r="B236"/>
  <c r="A236"/>
  <c r="AI235"/>
  <c r="AH235"/>
  <c r="AG235"/>
  <c r="AF235"/>
  <c r="AD235"/>
  <c r="AC235"/>
  <c r="AB235"/>
  <c r="AE235" s="1"/>
  <c r="AA235"/>
  <c r="Z235"/>
  <c r="Y235"/>
  <c r="X235"/>
  <c r="U235"/>
  <c r="T235"/>
  <c r="S235"/>
  <c r="R235"/>
  <c r="Q235"/>
  <c r="P235"/>
  <c r="H235"/>
  <c r="G235"/>
  <c r="F235"/>
  <c r="O235" s="1"/>
  <c r="E235"/>
  <c r="D235"/>
  <c r="C235"/>
  <c r="B235"/>
  <c r="A235"/>
  <c r="AI234"/>
  <c r="AH234"/>
  <c r="AG234"/>
  <c r="AF234"/>
  <c r="AA234"/>
  <c r="AB234" s="1"/>
  <c r="Z234"/>
  <c r="Y234"/>
  <c r="X234"/>
  <c r="T234"/>
  <c r="S234"/>
  <c r="Q234"/>
  <c r="P234"/>
  <c r="O234"/>
  <c r="H234"/>
  <c r="R234" s="1"/>
  <c r="G234"/>
  <c r="F234"/>
  <c r="I234" s="1"/>
  <c r="E234"/>
  <c r="D234"/>
  <c r="C234"/>
  <c r="B234"/>
  <c r="A234"/>
  <c r="AI233"/>
  <c r="AH233"/>
  <c r="AG233"/>
  <c r="AF233"/>
  <c r="AA233"/>
  <c r="Z233"/>
  <c r="AB233" s="1"/>
  <c r="Y233"/>
  <c r="X233"/>
  <c r="T233"/>
  <c r="S233"/>
  <c r="U233" s="1"/>
  <c r="R233"/>
  <c r="Q233"/>
  <c r="P233"/>
  <c r="O233"/>
  <c r="H233"/>
  <c r="G233"/>
  <c r="I233" s="1"/>
  <c r="N233" s="1"/>
  <c r="F233"/>
  <c r="E233"/>
  <c r="D233"/>
  <c r="C233"/>
  <c r="B233"/>
  <c r="A233"/>
  <c r="AI232"/>
  <c r="AH232"/>
  <c r="AG232"/>
  <c r="AF232"/>
  <c r="AA232"/>
  <c r="Z232"/>
  <c r="Y232"/>
  <c r="AB232" s="1"/>
  <c r="AD232" s="1"/>
  <c r="X232"/>
  <c r="T232"/>
  <c r="U232" s="1"/>
  <c r="S232"/>
  <c r="R232"/>
  <c r="O232"/>
  <c r="N232"/>
  <c r="M232"/>
  <c r="H232"/>
  <c r="P232" s="1"/>
  <c r="G232"/>
  <c r="F232"/>
  <c r="I232" s="1"/>
  <c r="E232"/>
  <c r="D232"/>
  <c r="C232"/>
  <c r="B232"/>
  <c r="A232"/>
  <c r="AI231"/>
  <c r="AH231"/>
  <c r="AG231"/>
  <c r="AF231"/>
  <c r="AA231"/>
  <c r="Z231"/>
  <c r="Y231"/>
  <c r="X231"/>
  <c r="AB231" s="1"/>
  <c r="AC231" s="1"/>
  <c r="T231"/>
  <c r="S231"/>
  <c r="U231" s="1"/>
  <c r="Q231"/>
  <c r="H231"/>
  <c r="P231" s="1"/>
  <c r="G231"/>
  <c r="F231"/>
  <c r="E231"/>
  <c r="D231"/>
  <c r="C231"/>
  <c r="B231"/>
  <c r="A231"/>
  <c r="AI230"/>
  <c r="AH230"/>
  <c r="AG230"/>
  <c r="AF230"/>
  <c r="AA230"/>
  <c r="Z230"/>
  <c r="Y230"/>
  <c r="X230"/>
  <c r="AB230" s="1"/>
  <c r="T230"/>
  <c r="S230"/>
  <c r="U230" s="1"/>
  <c r="V230" s="1"/>
  <c r="R230"/>
  <c r="P230"/>
  <c r="H230"/>
  <c r="Q230" s="1"/>
  <c r="G230"/>
  <c r="F230"/>
  <c r="E230"/>
  <c r="D230"/>
  <c r="C230"/>
  <c r="B230"/>
  <c r="A230"/>
  <c r="AI229"/>
  <c r="AH229"/>
  <c r="AG229"/>
  <c r="AF229"/>
  <c r="AA229"/>
  <c r="Z229"/>
  <c r="Y229"/>
  <c r="X229"/>
  <c r="T229"/>
  <c r="S229"/>
  <c r="U229" s="1"/>
  <c r="W229" s="1"/>
  <c r="R229"/>
  <c r="Q229"/>
  <c r="O229"/>
  <c r="L229"/>
  <c r="K229"/>
  <c r="J229"/>
  <c r="H229"/>
  <c r="P229" s="1"/>
  <c r="G229"/>
  <c r="F229"/>
  <c r="I229" s="1"/>
  <c r="E229"/>
  <c r="D229"/>
  <c r="C229"/>
  <c r="B229"/>
  <c r="A229"/>
  <c r="AI228"/>
  <c r="AH228"/>
  <c r="AG228"/>
  <c r="AF228"/>
  <c r="AB228"/>
  <c r="AA228"/>
  <c r="Z228"/>
  <c r="Y228"/>
  <c r="X228"/>
  <c r="U228"/>
  <c r="V228" s="1"/>
  <c r="T228"/>
  <c r="S228"/>
  <c r="R228"/>
  <c r="Q228"/>
  <c r="P228"/>
  <c r="J228"/>
  <c r="I228"/>
  <c r="H228"/>
  <c r="G228"/>
  <c r="F228"/>
  <c r="O228" s="1"/>
  <c r="E228"/>
  <c r="D228"/>
  <c r="C228"/>
  <c r="B228"/>
  <c r="A228"/>
  <c r="AI227"/>
  <c r="AH227"/>
  <c r="AG227"/>
  <c r="AF227"/>
  <c r="AA227"/>
  <c r="Z227"/>
  <c r="Y227"/>
  <c r="AB227" s="1"/>
  <c r="X227"/>
  <c r="T227"/>
  <c r="U227" s="1"/>
  <c r="S227"/>
  <c r="O227"/>
  <c r="J227"/>
  <c r="I227"/>
  <c r="H227"/>
  <c r="G227"/>
  <c r="F227"/>
  <c r="E227"/>
  <c r="D227"/>
  <c r="C227"/>
  <c r="B227"/>
  <c r="A227"/>
  <c r="AI226"/>
  <c r="AH226"/>
  <c r="AG226"/>
  <c r="AF226"/>
  <c r="AA226"/>
  <c r="Z226"/>
  <c r="Y226"/>
  <c r="X226"/>
  <c r="T226"/>
  <c r="S226"/>
  <c r="U226" s="1"/>
  <c r="H226"/>
  <c r="G226"/>
  <c r="O226" s="1"/>
  <c r="F226"/>
  <c r="E226"/>
  <c r="D226"/>
  <c r="C226"/>
  <c r="B226"/>
  <c r="A226"/>
  <c r="AI225"/>
  <c r="AH225"/>
  <c r="AG225"/>
  <c r="AF225"/>
  <c r="AE225"/>
  <c r="AD225"/>
  <c r="AA225"/>
  <c r="Z225"/>
  <c r="Y225"/>
  <c r="AB225" s="1"/>
  <c r="AC225" s="1"/>
  <c r="X225"/>
  <c r="T225"/>
  <c r="S225"/>
  <c r="U225" s="1"/>
  <c r="V225" s="1"/>
  <c r="H225"/>
  <c r="G225"/>
  <c r="F225"/>
  <c r="E225"/>
  <c r="D225"/>
  <c r="C225"/>
  <c r="B225"/>
  <c r="A225"/>
  <c r="AI224"/>
  <c r="AH224"/>
  <c r="AG224"/>
  <c r="AF224"/>
  <c r="AE224"/>
  <c r="AD224"/>
  <c r="AC224"/>
  <c r="AA224"/>
  <c r="Z224"/>
  <c r="Y224"/>
  <c r="X224"/>
  <c r="AB224" s="1"/>
  <c r="V224"/>
  <c r="T224"/>
  <c r="S224"/>
  <c r="U224" s="1"/>
  <c r="W224" s="1"/>
  <c r="Q224"/>
  <c r="H224"/>
  <c r="P224" s="1"/>
  <c r="G224"/>
  <c r="F224"/>
  <c r="E224"/>
  <c r="D224"/>
  <c r="C224"/>
  <c r="B224"/>
  <c r="A224"/>
  <c r="AI223"/>
  <c r="AH223"/>
  <c r="AG223"/>
  <c r="AF223"/>
  <c r="AE223"/>
  <c r="AD223"/>
  <c r="AC223"/>
  <c r="AB223"/>
  <c r="AA223"/>
  <c r="Z223"/>
  <c r="Y223"/>
  <c r="X223"/>
  <c r="T223"/>
  <c r="S223"/>
  <c r="U223" s="1"/>
  <c r="R223"/>
  <c r="Q223"/>
  <c r="P223"/>
  <c r="H223"/>
  <c r="G223"/>
  <c r="I223" s="1"/>
  <c r="F223"/>
  <c r="E223"/>
  <c r="D223"/>
  <c r="C223"/>
  <c r="B223"/>
  <c r="A223"/>
  <c r="AI222"/>
  <c r="AH222"/>
  <c r="AG222"/>
  <c r="AF222"/>
  <c r="AD222"/>
  <c r="AC222"/>
  <c r="AB222"/>
  <c r="AE222" s="1"/>
  <c r="AA222"/>
  <c r="Z222"/>
  <c r="Y222"/>
  <c r="X222"/>
  <c r="T222"/>
  <c r="S222"/>
  <c r="R222"/>
  <c r="Q222"/>
  <c r="P222"/>
  <c r="O222"/>
  <c r="H222"/>
  <c r="G222"/>
  <c r="F222"/>
  <c r="I222" s="1"/>
  <c r="E222"/>
  <c r="D222"/>
  <c r="C222"/>
  <c r="B222"/>
  <c r="A222"/>
  <c r="AI221"/>
  <c r="AH221"/>
  <c r="AG221"/>
  <c r="AF221"/>
  <c r="AA221"/>
  <c r="AB221" s="1"/>
  <c r="Z221"/>
  <c r="Y221"/>
  <c r="X221"/>
  <c r="T221"/>
  <c r="S221"/>
  <c r="U221" s="1"/>
  <c r="R221"/>
  <c r="Q221"/>
  <c r="P221"/>
  <c r="H221"/>
  <c r="G221"/>
  <c r="I221" s="1"/>
  <c r="F221"/>
  <c r="E221"/>
  <c r="D221"/>
  <c r="C221"/>
  <c r="B221"/>
  <c r="A221"/>
  <c r="AI220"/>
  <c r="AH220"/>
  <c r="AG220"/>
  <c r="AF220"/>
  <c r="AB220"/>
  <c r="AD220" s="1"/>
  <c r="AA220"/>
  <c r="Z220"/>
  <c r="Y220"/>
  <c r="X220"/>
  <c r="T220"/>
  <c r="U220" s="1"/>
  <c r="S220"/>
  <c r="O220"/>
  <c r="N220"/>
  <c r="M220"/>
  <c r="H220"/>
  <c r="Q220" s="1"/>
  <c r="G220"/>
  <c r="F220"/>
  <c r="I220" s="1"/>
  <c r="E220"/>
  <c r="D220"/>
  <c r="C220"/>
  <c r="B220"/>
  <c r="A220"/>
  <c r="AI219"/>
  <c r="AH219"/>
  <c r="AG219"/>
  <c r="AF219"/>
  <c r="AA219"/>
  <c r="Z219"/>
  <c r="Y219"/>
  <c r="X219"/>
  <c r="AB219" s="1"/>
  <c r="AD219" s="1"/>
  <c r="T219"/>
  <c r="S219"/>
  <c r="U219" s="1"/>
  <c r="Q219"/>
  <c r="H219"/>
  <c r="G219"/>
  <c r="I219" s="1"/>
  <c r="F219"/>
  <c r="E219"/>
  <c r="D219"/>
  <c r="C219"/>
  <c r="B219"/>
  <c r="A219"/>
  <c r="AI218"/>
  <c r="AH218"/>
  <c r="AG218"/>
  <c r="AF218"/>
  <c r="AB218"/>
  <c r="AC218" s="1"/>
  <c r="AA218"/>
  <c r="Z218"/>
  <c r="Y218"/>
  <c r="X218"/>
  <c r="T218"/>
  <c r="S218"/>
  <c r="U218" s="1"/>
  <c r="V218" s="1"/>
  <c r="R218"/>
  <c r="P218"/>
  <c r="H218"/>
  <c r="Q218" s="1"/>
  <c r="G218"/>
  <c r="F218"/>
  <c r="E218"/>
  <c r="D218"/>
  <c r="C218"/>
  <c r="B218"/>
  <c r="A218"/>
  <c r="AI217"/>
  <c r="AH217"/>
  <c r="AG217"/>
  <c r="AF217"/>
  <c r="AA217"/>
  <c r="Z217"/>
  <c r="Y217"/>
  <c r="X217"/>
  <c r="T217"/>
  <c r="S217"/>
  <c r="U217" s="1"/>
  <c r="V217" s="1"/>
  <c r="R217"/>
  <c r="Q217"/>
  <c r="O217"/>
  <c r="M217"/>
  <c r="L217"/>
  <c r="K217"/>
  <c r="J217"/>
  <c r="H217"/>
  <c r="P217" s="1"/>
  <c r="G217"/>
  <c r="F217"/>
  <c r="I217" s="1"/>
  <c r="N217" s="1"/>
  <c r="E217"/>
  <c r="D217"/>
  <c r="C217"/>
  <c r="B217"/>
  <c r="A217"/>
  <c r="AI216"/>
  <c r="AH216"/>
  <c r="AG216"/>
  <c r="AF216"/>
  <c r="AA216"/>
  <c r="Z216"/>
  <c r="AB216" s="1"/>
  <c r="Y216"/>
  <c r="X216"/>
  <c r="U216"/>
  <c r="V216" s="1"/>
  <c r="T216"/>
  <c r="S216"/>
  <c r="R216"/>
  <c r="Q216"/>
  <c r="P216"/>
  <c r="N216"/>
  <c r="L216"/>
  <c r="I216"/>
  <c r="M216" s="1"/>
  <c r="H216"/>
  <c r="G216"/>
  <c r="F216"/>
  <c r="O216" s="1"/>
  <c r="E216"/>
  <c r="D216"/>
  <c r="C216"/>
  <c r="B216"/>
  <c r="A216"/>
  <c r="AI215"/>
  <c r="AH215"/>
  <c r="AG215"/>
  <c r="AF215"/>
  <c r="AB215"/>
  <c r="AC215" s="1"/>
  <c r="AA215"/>
  <c r="Z215"/>
  <c r="Y215"/>
  <c r="X215"/>
  <c r="U215"/>
  <c r="V215" s="1"/>
  <c r="T215"/>
  <c r="S215"/>
  <c r="Q215"/>
  <c r="P215"/>
  <c r="O215"/>
  <c r="M215"/>
  <c r="K215"/>
  <c r="J215"/>
  <c r="I215"/>
  <c r="H215"/>
  <c r="R215" s="1"/>
  <c r="G215"/>
  <c r="F215"/>
  <c r="E215"/>
  <c r="D215"/>
  <c r="C215"/>
  <c r="B215"/>
  <c r="A215"/>
  <c r="AI214"/>
  <c r="AH214"/>
  <c r="AG214"/>
  <c r="AF214"/>
  <c r="AA214"/>
  <c r="AB214" s="1"/>
  <c r="Z214"/>
  <c r="Y214"/>
  <c r="X214"/>
  <c r="T214"/>
  <c r="S214"/>
  <c r="U214" s="1"/>
  <c r="P214"/>
  <c r="H214"/>
  <c r="G214"/>
  <c r="I214" s="1"/>
  <c r="F214"/>
  <c r="E214"/>
  <c r="D214"/>
  <c r="C214"/>
  <c r="B214"/>
  <c r="A214"/>
  <c r="AI213"/>
  <c r="AH213"/>
  <c r="AG213"/>
  <c r="AF213"/>
  <c r="AA213"/>
  <c r="Z213"/>
  <c r="Y213"/>
  <c r="X213"/>
  <c r="T213"/>
  <c r="S213"/>
  <c r="U213" s="1"/>
  <c r="R213"/>
  <c r="H213"/>
  <c r="G213"/>
  <c r="I213" s="1"/>
  <c r="F213"/>
  <c r="O213" s="1"/>
  <c r="E213"/>
  <c r="D213"/>
  <c r="C213"/>
  <c r="B213"/>
  <c r="A213"/>
  <c r="AI212"/>
  <c r="AH212"/>
  <c r="AG212"/>
  <c r="AF212"/>
  <c r="AA212"/>
  <c r="Z212"/>
  <c r="Y212"/>
  <c r="X212"/>
  <c r="AB212" s="1"/>
  <c r="AC212" s="1"/>
  <c r="T212"/>
  <c r="S212"/>
  <c r="U212" s="1"/>
  <c r="W212" s="1"/>
  <c r="R212"/>
  <c r="Q212"/>
  <c r="H212"/>
  <c r="P212" s="1"/>
  <c r="G212"/>
  <c r="F212"/>
  <c r="E212"/>
  <c r="D212"/>
  <c r="C212"/>
  <c r="B212"/>
  <c r="A212"/>
  <c r="AI211"/>
  <c r="AH211"/>
  <c r="AG211"/>
  <c r="AF211"/>
  <c r="AA211"/>
  <c r="Z211"/>
  <c r="Y211"/>
  <c r="X211"/>
  <c r="AB211" s="1"/>
  <c r="U211"/>
  <c r="V211" s="1"/>
  <c r="T211"/>
  <c r="S211"/>
  <c r="R211"/>
  <c r="Q211"/>
  <c r="P211"/>
  <c r="H211"/>
  <c r="G211"/>
  <c r="F211"/>
  <c r="O211" s="1"/>
  <c r="E211"/>
  <c r="D211"/>
  <c r="C211"/>
  <c r="B211"/>
  <c r="A211"/>
  <c r="AI210"/>
  <c r="AH210"/>
  <c r="AG210"/>
  <c r="AF210"/>
  <c r="AA210"/>
  <c r="Z210"/>
  <c r="Y210"/>
  <c r="X210"/>
  <c r="AB210" s="1"/>
  <c r="W210"/>
  <c r="T210"/>
  <c r="S210"/>
  <c r="U210" s="1"/>
  <c r="V210" s="1"/>
  <c r="O210"/>
  <c r="L210"/>
  <c r="J210"/>
  <c r="H210"/>
  <c r="P210" s="1"/>
  <c r="G210"/>
  <c r="F210"/>
  <c r="I210" s="1"/>
  <c r="K210" s="1"/>
  <c r="E210"/>
  <c r="D210"/>
  <c r="C210"/>
  <c r="B210"/>
  <c r="A210"/>
  <c r="AI209"/>
  <c r="AH209"/>
  <c r="AG209"/>
  <c r="AF209"/>
  <c r="AA209"/>
  <c r="Z209"/>
  <c r="AB209" s="1"/>
  <c r="Y209"/>
  <c r="X209"/>
  <c r="T209"/>
  <c r="S209"/>
  <c r="U209" s="1"/>
  <c r="R209"/>
  <c r="Q209"/>
  <c r="P209"/>
  <c r="N209"/>
  <c r="K209"/>
  <c r="J209"/>
  <c r="I209"/>
  <c r="H209"/>
  <c r="G209"/>
  <c r="O209" s="1"/>
  <c r="F209"/>
  <c r="E209"/>
  <c r="D209"/>
  <c r="C209"/>
  <c r="B209"/>
  <c r="A209"/>
  <c r="AI208"/>
  <c r="AH208"/>
  <c r="AG208"/>
  <c r="AF208"/>
  <c r="AA208"/>
  <c r="Z208"/>
  <c r="Y208"/>
  <c r="AB208" s="1"/>
  <c r="X208"/>
  <c r="T208"/>
  <c r="U208" s="1"/>
  <c r="S208"/>
  <c r="O208"/>
  <c r="I208"/>
  <c r="J208" s="1"/>
  <c r="H208"/>
  <c r="Q208" s="1"/>
  <c r="G208"/>
  <c r="F208"/>
  <c r="E208"/>
  <c r="D208"/>
  <c r="C208"/>
  <c r="B208"/>
  <c r="A208"/>
  <c r="AI207"/>
  <c r="AH207"/>
  <c r="AG207"/>
  <c r="AF207"/>
  <c r="AE207"/>
  <c r="AA207"/>
  <c r="Z207"/>
  <c r="Y207"/>
  <c r="X207"/>
  <c r="AB207" s="1"/>
  <c r="AD207" s="1"/>
  <c r="T207"/>
  <c r="U207" s="1"/>
  <c r="S207"/>
  <c r="H207"/>
  <c r="G207"/>
  <c r="I207" s="1"/>
  <c r="F207"/>
  <c r="E207"/>
  <c r="D207"/>
  <c r="C207"/>
  <c r="B207"/>
  <c r="A207"/>
  <c r="AI206"/>
  <c r="AH206"/>
  <c r="AG206"/>
  <c r="AF206"/>
  <c r="AA206"/>
  <c r="Z206"/>
  <c r="AB206" s="1"/>
  <c r="Y206"/>
  <c r="X206"/>
  <c r="T206"/>
  <c r="S206"/>
  <c r="U206" s="1"/>
  <c r="V206" s="1"/>
  <c r="H206"/>
  <c r="Q206" s="1"/>
  <c r="G206"/>
  <c r="F206"/>
  <c r="E206"/>
  <c r="D206"/>
  <c r="C206"/>
  <c r="B206"/>
  <c r="A206"/>
  <c r="AI205"/>
  <c r="AH205"/>
  <c r="AG205"/>
  <c r="AF205"/>
  <c r="AA205"/>
  <c r="Z205"/>
  <c r="Y205"/>
  <c r="X205"/>
  <c r="T205"/>
  <c r="S205"/>
  <c r="U205" s="1"/>
  <c r="W205" s="1"/>
  <c r="R205"/>
  <c r="Q205"/>
  <c r="K205"/>
  <c r="J205"/>
  <c r="H205"/>
  <c r="P205" s="1"/>
  <c r="G205"/>
  <c r="F205"/>
  <c r="I205" s="1"/>
  <c r="N205" s="1"/>
  <c r="E205"/>
  <c r="D205"/>
  <c r="C205"/>
  <c r="B205"/>
  <c r="A205"/>
  <c r="AI204"/>
  <c r="AH204"/>
  <c r="AG204"/>
  <c r="AF204"/>
  <c r="AA204"/>
  <c r="Z204"/>
  <c r="Y204"/>
  <c r="X204"/>
  <c r="AB204" s="1"/>
  <c r="U204"/>
  <c r="V204" s="1"/>
  <c r="T204"/>
  <c r="S204"/>
  <c r="R204"/>
  <c r="Q204"/>
  <c r="P204"/>
  <c r="H204"/>
  <c r="G204"/>
  <c r="F204"/>
  <c r="O204" s="1"/>
  <c r="E204"/>
  <c r="D204"/>
  <c r="C204"/>
  <c r="B204"/>
  <c r="A204"/>
  <c r="AI203"/>
  <c r="AH203"/>
  <c r="AG203"/>
  <c r="AF203"/>
  <c r="AA203"/>
  <c r="AB203" s="1"/>
  <c r="Z203"/>
  <c r="Y203"/>
  <c r="X203"/>
  <c r="U203"/>
  <c r="V203" s="1"/>
  <c r="T203"/>
  <c r="S203"/>
  <c r="O203"/>
  <c r="M203"/>
  <c r="K203"/>
  <c r="I203"/>
  <c r="J203" s="1"/>
  <c r="H203"/>
  <c r="R203" s="1"/>
  <c r="G203"/>
  <c r="F203"/>
  <c r="E203"/>
  <c r="D203"/>
  <c r="C203"/>
  <c r="B203"/>
  <c r="A203"/>
  <c r="AI202"/>
  <c r="AH202"/>
  <c r="AG202"/>
  <c r="AF202"/>
  <c r="AA202"/>
  <c r="AB202" s="1"/>
  <c r="Z202"/>
  <c r="Y202"/>
  <c r="X202"/>
  <c r="T202"/>
  <c r="S202"/>
  <c r="U202" s="1"/>
  <c r="N202"/>
  <c r="L202"/>
  <c r="J202"/>
  <c r="I202"/>
  <c r="H202"/>
  <c r="G202"/>
  <c r="O202" s="1"/>
  <c r="F202"/>
  <c r="E202"/>
  <c r="D202"/>
  <c r="C202"/>
  <c r="B202"/>
  <c r="A202"/>
  <c r="AI201"/>
  <c r="AH201"/>
  <c r="AG201"/>
  <c r="AF201"/>
  <c r="AA201"/>
  <c r="Z201"/>
  <c r="Y201"/>
  <c r="AB201" s="1"/>
  <c r="AC201" s="1"/>
  <c r="X201"/>
  <c r="T201"/>
  <c r="S201"/>
  <c r="U201" s="1"/>
  <c r="H201"/>
  <c r="R201" s="1"/>
  <c r="G201"/>
  <c r="I201" s="1"/>
  <c r="F201"/>
  <c r="E201"/>
  <c r="D201"/>
  <c r="C201"/>
  <c r="B201"/>
  <c r="A201"/>
  <c r="AI200"/>
  <c r="AH200"/>
  <c r="AG200"/>
  <c r="AF200"/>
  <c r="AE200"/>
  <c r="AD200"/>
  <c r="AA200"/>
  <c r="Z200"/>
  <c r="Y200"/>
  <c r="X200"/>
  <c r="AB200" s="1"/>
  <c r="AC200" s="1"/>
  <c r="T200"/>
  <c r="S200"/>
  <c r="H200"/>
  <c r="P200" s="1"/>
  <c r="G200"/>
  <c r="F200"/>
  <c r="E200"/>
  <c r="D200"/>
  <c r="C200"/>
  <c r="B200"/>
  <c r="A200"/>
  <c r="AI199"/>
  <c r="AH199"/>
  <c r="AG199"/>
  <c r="AF199"/>
  <c r="AE199"/>
  <c r="AD199"/>
  <c r="AC199"/>
  <c r="AB199"/>
  <c r="AA199"/>
  <c r="Z199"/>
  <c r="Y199"/>
  <c r="X199"/>
  <c r="U199"/>
  <c r="V199" s="1"/>
  <c r="T199"/>
  <c r="S199"/>
  <c r="R199"/>
  <c r="Q199"/>
  <c r="P199"/>
  <c r="H199"/>
  <c r="G199"/>
  <c r="F199"/>
  <c r="O199" s="1"/>
  <c r="E199"/>
  <c r="D199"/>
  <c r="C199"/>
  <c r="B199"/>
  <c r="A199"/>
  <c r="AI198"/>
  <c r="AH198"/>
  <c r="AG198"/>
  <c r="AF198"/>
  <c r="AB198"/>
  <c r="AE198" s="1"/>
  <c r="AA198"/>
  <c r="Z198"/>
  <c r="Y198"/>
  <c r="X198"/>
  <c r="T198"/>
  <c r="S198"/>
  <c r="P198"/>
  <c r="O198"/>
  <c r="J198"/>
  <c r="H198"/>
  <c r="Q198" s="1"/>
  <c r="G198"/>
  <c r="F198"/>
  <c r="I198" s="1"/>
  <c r="E198"/>
  <c r="D198"/>
  <c r="C198"/>
  <c r="B198"/>
  <c r="A198"/>
  <c r="AI197"/>
  <c r="AH197"/>
  <c r="AG197"/>
  <c r="AF197"/>
  <c r="AA197"/>
  <c r="AB197" s="1"/>
  <c r="Z197"/>
  <c r="Y197"/>
  <c r="X197"/>
  <c r="T197"/>
  <c r="S197"/>
  <c r="U197" s="1"/>
  <c r="R197"/>
  <c r="Q197"/>
  <c r="P197"/>
  <c r="O197"/>
  <c r="I197"/>
  <c r="J197" s="1"/>
  <c r="H197"/>
  <c r="G197"/>
  <c r="F197"/>
  <c r="E197"/>
  <c r="D197"/>
  <c r="C197"/>
  <c r="B197"/>
  <c r="A197"/>
  <c r="AI196"/>
  <c r="AH196"/>
  <c r="AG196"/>
  <c r="AF196"/>
  <c r="AA196"/>
  <c r="Z196"/>
  <c r="Y196"/>
  <c r="AB196" s="1"/>
  <c r="X196"/>
  <c r="U196"/>
  <c r="W196" s="1"/>
  <c r="T196"/>
  <c r="S196"/>
  <c r="P196"/>
  <c r="O196"/>
  <c r="H196"/>
  <c r="Q196" s="1"/>
  <c r="G196"/>
  <c r="F196"/>
  <c r="I196" s="1"/>
  <c r="E196"/>
  <c r="D196"/>
  <c r="C196"/>
  <c r="B196"/>
  <c r="A196"/>
  <c r="AI195"/>
  <c r="AH195"/>
  <c r="AG195"/>
  <c r="AF195"/>
  <c r="AA195"/>
  <c r="Z195"/>
  <c r="Y195"/>
  <c r="X195"/>
  <c r="T195"/>
  <c r="U195" s="1"/>
  <c r="S195"/>
  <c r="O195"/>
  <c r="I195"/>
  <c r="L195" s="1"/>
  <c r="H195"/>
  <c r="G195"/>
  <c r="F195"/>
  <c r="E195"/>
  <c r="D195"/>
  <c r="C195"/>
  <c r="B195"/>
  <c r="A195"/>
  <c r="AI194"/>
  <c r="AH194"/>
  <c r="AG194"/>
  <c r="AF194"/>
  <c r="AA194"/>
  <c r="Z194"/>
  <c r="AB194" s="1"/>
  <c r="Y194"/>
  <c r="X194"/>
  <c r="T194"/>
  <c r="S194"/>
  <c r="U194" s="1"/>
  <c r="V194" s="1"/>
  <c r="H194"/>
  <c r="G194"/>
  <c r="F194"/>
  <c r="E194"/>
  <c r="D194"/>
  <c r="C194"/>
  <c r="B194"/>
  <c r="A194"/>
  <c r="AI193"/>
  <c r="AH193"/>
  <c r="AG193"/>
  <c r="AF193"/>
  <c r="AA193"/>
  <c r="Z193"/>
  <c r="Y193"/>
  <c r="X193"/>
  <c r="W193"/>
  <c r="T193"/>
  <c r="S193"/>
  <c r="U193" s="1"/>
  <c r="V193" s="1"/>
  <c r="R193"/>
  <c r="Q193"/>
  <c r="H193"/>
  <c r="P193" s="1"/>
  <c r="G193"/>
  <c r="F193"/>
  <c r="E193"/>
  <c r="D193"/>
  <c r="C193"/>
  <c r="B193"/>
  <c r="A193"/>
  <c r="AI192"/>
  <c r="AH192"/>
  <c r="AG192"/>
  <c r="AF192"/>
  <c r="AA192"/>
  <c r="Z192"/>
  <c r="Y192"/>
  <c r="X192"/>
  <c r="AB192" s="1"/>
  <c r="U192"/>
  <c r="V192" s="1"/>
  <c r="T192"/>
  <c r="S192"/>
  <c r="R192"/>
  <c r="Q192"/>
  <c r="P192"/>
  <c r="H192"/>
  <c r="G192"/>
  <c r="F192"/>
  <c r="O192" s="1"/>
  <c r="E192"/>
  <c r="D192"/>
  <c r="C192"/>
  <c r="B192"/>
  <c r="A192"/>
  <c r="AI191"/>
  <c r="AH191"/>
  <c r="AG191"/>
  <c r="AF191"/>
  <c r="AB191"/>
  <c r="AA191"/>
  <c r="Z191"/>
  <c r="Y191"/>
  <c r="X191"/>
  <c r="T191"/>
  <c r="U191" s="1"/>
  <c r="S191"/>
  <c r="O191"/>
  <c r="I191"/>
  <c r="J191" s="1"/>
  <c r="H191"/>
  <c r="R191" s="1"/>
  <c r="G191"/>
  <c r="F191"/>
  <c r="E191"/>
  <c r="D191"/>
  <c r="C191"/>
  <c r="B191"/>
  <c r="A191"/>
  <c r="AI190"/>
  <c r="AH190"/>
  <c r="AG190"/>
  <c r="AF190"/>
  <c r="AA190"/>
  <c r="Z190"/>
  <c r="Y190"/>
  <c r="X190"/>
  <c r="AB190" s="1"/>
  <c r="T190"/>
  <c r="S190"/>
  <c r="U190" s="1"/>
  <c r="O190"/>
  <c r="I190"/>
  <c r="J190" s="1"/>
  <c r="H190"/>
  <c r="G190"/>
  <c r="F190"/>
  <c r="E190"/>
  <c r="D190"/>
  <c r="C190"/>
  <c r="B190"/>
  <c r="A190"/>
  <c r="AI189"/>
  <c r="AH189"/>
  <c r="AG189"/>
  <c r="AF189"/>
  <c r="AA189"/>
  <c r="Z189"/>
  <c r="Y189"/>
  <c r="X189"/>
  <c r="U189"/>
  <c r="V189" s="1"/>
  <c r="T189"/>
  <c r="S189"/>
  <c r="O189"/>
  <c r="H189"/>
  <c r="G189"/>
  <c r="I189" s="1"/>
  <c r="N189" s="1"/>
  <c r="F189"/>
  <c r="E189"/>
  <c r="D189"/>
  <c r="C189"/>
  <c r="B189"/>
  <c r="A189"/>
  <c r="AI188"/>
  <c r="AH188"/>
  <c r="AG188"/>
  <c r="AF188"/>
  <c r="AE188"/>
  <c r="AD188"/>
  <c r="AC188"/>
  <c r="AA188"/>
  <c r="Z188"/>
  <c r="Y188"/>
  <c r="X188"/>
  <c r="AB188" s="1"/>
  <c r="T188"/>
  <c r="S188"/>
  <c r="Q188"/>
  <c r="H188"/>
  <c r="P188" s="1"/>
  <c r="G188"/>
  <c r="F188"/>
  <c r="E188"/>
  <c r="D188"/>
  <c r="C188"/>
  <c r="B188"/>
  <c r="A188"/>
  <c r="AI187"/>
  <c r="AH187"/>
  <c r="AG187"/>
  <c r="AF187"/>
  <c r="AB187"/>
  <c r="AA187"/>
  <c r="Z187"/>
  <c r="Y187"/>
  <c r="X187"/>
  <c r="T187"/>
  <c r="S187"/>
  <c r="U187" s="1"/>
  <c r="R187"/>
  <c r="Q187"/>
  <c r="P187"/>
  <c r="H187"/>
  <c r="G187"/>
  <c r="F187"/>
  <c r="O187" s="1"/>
  <c r="E187"/>
  <c r="D187"/>
  <c r="C187"/>
  <c r="B187"/>
  <c r="A187"/>
  <c r="AI186"/>
  <c r="AH186"/>
  <c r="AG186"/>
  <c r="AF186"/>
  <c r="AB186"/>
  <c r="AE186" s="1"/>
  <c r="AA186"/>
  <c r="Z186"/>
  <c r="Y186"/>
  <c r="X186"/>
  <c r="T186"/>
  <c r="S186"/>
  <c r="R186"/>
  <c r="Q186"/>
  <c r="P186"/>
  <c r="H186"/>
  <c r="G186"/>
  <c r="F186"/>
  <c r="E186"/>
  <c r="D186"/>
  <c r="C186"/>
  <c r="B186"/>
  <c r="A186"/>
  <c r="AI185"/>
  <c r="AH185"/>
  <c r="AG185"/>
  <c r="AF185"/>
  <c r="AB185"/>
  <c r="AA185"/>
  <c r="Z185"/>
  <c r="Y185"/>
  <c r="X185"/>
  <c r="W185"/>
  <c r="V185"/>
  <c r="U185"/>
  <c r="T185"/>
  <c r="S185"/>
  <c r="R185"/>
  <c r="Q185"/>
  <c r="P185"/>
  <c r="O185"/>
  <c r="J185"/>
  <c r="I185"/>
  <c r="H185"/>
  <c r="G185"/>
  <c r="F185"/>
  <c r="E185"/>
  <c r="D185"/>
  <c r="C185"/>
  <c r="B185"/>
  <c r="A185"/>
  <c r="AI184"/>
  <c r="AH184"/>
  <c r="AG184"/>
  <c r="AF184"/>
  <c r="AA184"/>
  <c r="AB184" s="1"/>
  <c r="Z184"/>
  <c r="Y184"/>
  <c r="X184"/>
  <c r="U184"/>
  <c r="W184" s="1"/>
  <c r="T184"/>
  <c r="S184"/>
  <c r="R184"/>
  <c r="P184"/>
  <c r="H184"/>
  <c r="Q184" s="1"/>
  <c r="G184"/>
  <c r="F184"/>
  <c r="E184"/>
  <c r="D184"/>
  <c r="C184"/>
  <c r="B184"/>
  <c r="A184"/>
  <c r="AI183"/>
  <c r="AH183"/>
  <c r="AG183"/>
  <c r="AF183"/>
  <c r="AA183"/>
  <c r="Z183"/>
  <c r="Y183"/>
  <c r="X183"/>
  <c r="T183"/>
  <c r="U183" s="1"/>
  <c r="S183"/>
  <c r="Q183"/>
  <c r="O183"/>
  <c r="I183"/>
  <c r="L183" s="1"/>
  <c r="H183"/>
  <c r="G183"/>
  <c r="F183"/>
  <c r="E183"/>
  <c r="D183"/>
  <c r="C183"/>
  <c r="B183"/>
  <c r="A183"/>
  <c r="AI182"/>
  <c r="AH182"/>
  <c r="AG182"/>
  <c r="AF182"/>
  <c r="AA182"/>
  <c r="Z182"/>
  <c r="Y182"/>
  <c r="X182"/>
  <c r="AB182" s="1"/>
  <c r="T182"/>
  <c r="S182"/>
  <c r="U182" s="1"/>
  <c r="V182" s="1"/>
  <c r="R182"/>
  <c r="P182"/>
  <c r="H182"/>
  <c r="Q182" s="1"/>
  <c r="G182"/>
  <c r="F182"/>
  <c r="E182"/>
  <c r="D182"/>
  <c r="C182"/>
  <c r="B182"/>
  <c r="A182"/>
  <c r="AI181"/>
  <c r="AH181"/>
  <c r="AG181"/>
  <c r="AF181"/>
  <c r="AA181"/>
  <c r="Z181"/>
  <c r="Y181"/>
  <c r="X181"/>
  <c r="AB181" s="1"/>
  <c r="W181"/>
  <c r="T181"/>
  <c r="S181"/>
  <c r="U181" s="1"/>
  <c r="V181" s="1"/>
  <c r="R181"/>
  <c r="Q181"/>
  <c r="H181"/>
  <c r="P181" s="1"/>
  <c r="G181"/>
  <c r="O181" s="1"/>
  <c r="F181"/>
  <c r="E181"/>
  <c r="D181"/>
  <c r="C181"/>
  <c r="B181"/>
  <c r="A181"/>
  <c r="AI180"/>
  <c r="AH180"/>
  <c r="AG180"/>
  <c r="AF180"/>
  <c r="AD180"/>
  <c r="AC180"/>
  <c r="AA180"/>
  <c r="Z180"/>
  <c r="Y180"/>
  <c r="X180"/>
  <c r="AB180" s="1"/>
  <c r="AE180" s="1"/>
  <c r="W180"/>
  <c r="V180"/>
  <c r="U180"/>
  <c r="T180"/>
  <c r="S180"/>
  <c r="R180"/>
  <c r="Q180"/>
  <c r="P180"/>
  <c r="L180"/>
  <c r="K180"/>
  <c r="J180"/>
  <c r="I180"/>
  <c r="M180" s="1"/>
  <c r="H180"/>
  <c r="G180"/>
  <c r="F180"/>
  <c r="O180" s="1"/>
  <c r="E180"/>
  <c r="D180"/>
  <c r="C180"/>
  <c r="B180"/>
  <c r="A180"/>
  <c r="AI179"/>
  <c r="AH179"/>
  <c r="AG179"/>
  <c r="AF179"/>
  <c r="AA179"/>
  <c r="Z179"/>
  <c r="Y179"/>
  <c r="AB179" s="1"/>
  <c r="X179"/>
  <c r="U179"/>
  <c r="V179" s="1"/>
  <c r="T179"/>
  <c r="S179"/>
  <c r="Q179"/>
  <c r="P179"/>
  <c r="O179"/>
  <c r="J179"/>
  <c r="I179"/>
  <c r="H179"/>
  <c r="R179" s="1"/>
  <c r="G179"/>
  <c r="F179"/>
  <c r="E179"/>
  <c r="D179"/>
  <c r="C179"/>
  <c r="B179"/>
  <c r="A179"/>
  <c r="AI178"/>
  <c r="AH178"/>
  <c r="AG178"/>
  <c r="AF178"/>
  <c r="AA178"/>
  <c r="Z178"/>
  <c r="Y178"/>
  <c r="X178"/>
  <c r="AB178" s="1"/>
  <c r="T178"/>
  <c r="S178"/>
  <c r="U178" s="1"/>
  <c r="P178"/>
  <c r="O178"/>
  <c r="J178"/>
  <c r="I178"/>
  <c r="H178"/>
  <c r="G178"/>
  <c r="F178"/>
  <c r="E178"/>
  <c r="D178"/>
  <c r="C178"/>
  <c r="B178"/>
  <c r="A178"/>
  <c r="AI177"/>
  <c r="AH177"/>
  <c r="AG177"/>
  <c r="AF177"/>
  <c r="AA177"/>
  <c r="Z177"/>
  <c r="Y177"/>
  <c r="X177"/>
  <c r="W177"/>
  <c r="U177"/>
  <c r="V177" s="1"/>
  <c r="T177"/>
  <c r="S177"/>
  <c r="R177"/>
  <c r="H177"/>
  <c r="G177"/>
  <c r="F177"/>
  <c r="E177"/>
  <c r="D177"/>
  <c r="C177"/>
  <c r="B177"/>
  <c r="A177"/>
  <c r="AI176"/>
  <c r="AH176"/>
  <c r="AG176"/>
  <c r="AF176"/>
  <c r="AC176"/>
  <c r="AA176"/>
  <c r="Z176"/>
  <c r="Y176"/>
  <c r="X176"/>
  <c r="AB176" s="1"/>
  <c r="AD176" s="1"/>
  <c r="T176"/>
  <c r="S176"/>
  <c r="R176"/>
  <c r="Q176"/>
  <c r="H176"/>
  <c r="P176" s="1"/>
  <c r="G176"/>
  <c r="F176"/>
  <c r="E176"/>
  <c r="D176"/>
  <c r="C176"/>
  <c r="B176"/>
  <c r="A176"/>
  <c r="AI175"/>
  <c r="AH175"/>
  <c r="AG175"/>
  <c r="AF175"/>
  <c r="AA175"/>
  <c r="Z175"/>
  <c r="Y175"/>
  <c r="AB175" s="1"/>
  <c r="X175"/>
  <c r="T175"/>
  <c r="S175"/>
  <c r="U175" s="1"/>
  <c r="R175"/>
  <c r="Q175"/>
  <c r="P175"/>
  <c r="I175"/>
  <c r="K175" s="1"/>
  <c r="H175"/>
  <c r="G175"/>
  <c r="F175"/>
  <c r="O175" s="1"/>
  <c r="E175"/>
  <c r="D175"/>
  <c r="C175"/>
  <c r="B175"/>
  <c r="A175"/>
  <c r="AI174"/>
  <c r="AH174"/>
  <c r="AG174"/>
  <c r="AF174"/>
  <c r="AA174"/>
  <c r="AB174" s="1"/>
  <c r="Z174"/>
  <c r="Y174"/>
  <c r="X174"/>
  <c r="T174"/>
  <c r="S174"/>
  <c r="R174"/>
  <c r="Q174"/>
  <c r="P174"/>
  <c r="L174"/>
  <c r="K174"/>
  <c r="H174"/>
  <c r="G174"/>
  <c r="F174"/>
  <c r="I174" s="1"/>
  <c r="E174"/>
  <c r="D174"/>
  <c r="C174"/>
  <c r="B174"/>
  <c r="A174"/>
  <c r="AI173"/>
  <c r="AH173"/>
  <c r="AG173"/>
  <c r="AF173"/>
  <c r="AA173"/>
  <c r="AB173" s="1"/>
  <c r="Z173"/>
  <c r="Y173"/>
  <c r="X173"/>
  <c r="U173"/>
  <c r="T173"/>
  <c r="S173"/>
  <c r="R173"/>
  <c r="Q173"/>
  <c r="P173"/>
  <c r="H173"/>
  <c r="G173"/>
  <c r="F173"/>
  <c r="E173"/>
  <c r="D173"/>
  <c r="C173"/>
  <c r="B173"/>
  <c r="A173"/>
  <c r="AI172"/>
  <c r="AH172"/>
  <c r="AG172"/>
  <c r="AF172"/>
  <c r="AA172"/>
  <c r="AB172" s="1"/>
  <c r="Z172"/>
  <c r="Y172"/>
  <c r="X172"/>
  <c r="U172"/>
  <c r="W172" s="1"/>
  <c r="T172"/>
  <c r="S172"/>
  <c r="N172"/>
  <c r="M172"/>
  <c r="H172"/>
  <c r="Q172" s="1"/>
  <c r="G172"/>
  <c r="F172"/>
  <c r="I172" s="1"/>
  <c r="E172"/>
  <c r="D172"/>
  <c r="C172"/>
  <c r="B172"/>
  <c r="A172"/>
  <c r="AI171"/>
  <c r="AH171"/>
  <c r="AG171"/>
  <c r="AF171"/>
  <c r="AA171"/>
  <c r="Z171"/>
  <c r="Y171"/>
  <c r="X171"/>
  <c r="T171"/>
  <c r="S171"/>
  <c r="U171" s="1"/>
  <c r="Q171"/>
  <c r="H171"/>
  <c r="G171"/>
  <c r="O171" s="1"/>
  <c r="F171"/>
  <c r="E171"/>
  <c r="D171"/>
  <c r="C171"/>
  <c r="B171"/>
  <c r="A171"/>
  <c r="AI170"/>
  <c r="AH170"/>
  <c r="AG170"/>
  <c r="AF170"/>
  <c r="AA170"/>
  <c r="Z170"/>
  <c r="Y170"/>
  <c r="X170"/>
  <c r="AB170" s="1"/>
  <c r="T170"/>
  <c r="S170"/>
  <c r="U170" s="1"/>
  <c r="V170" s="1"/>
  <c r="R170"/>
  <c r="P170"/>
  <c r="H170"/>
  <c r="Q170" s="1"/>
  <c r="G170"/>
  <c r="F170"/>
  <c r="E170"/>
  <c r="D170"/>
  <c r="C170"/>
  <c r="B170"/>
  <c r="A170"/>
  <c r="AI169"/>
  <c r="AH169"/>
  <c r="AG169"/>
  <c r="AF169"/>
  <c r="AA169"/>
  <c r="Z169"/>
  <c r="Y169"/>
  <c r="X169"/>
  <c r="W169"/>
  <c r="V169"/>
  <c r="T169"/>
  <c r="S169"/>
  <c r="U169" s="1"/>
  <c r="R169"/>
  <c r="Q169"/>
  <c r="O169"/>
  <c r="H169"/>
  <c r="P169" s="1"/>
  <c r="G169"/>
  <c r="F169"/>
  <c r="E169"/>
  <c r="D169"/>
  <c r="C169"/>
  <c r="B169"/>
  <c r="A169"/>
  <c r="AI168"/>
  <c r="AH168"/>
  <c r="AG168"/>
  <c r="AF168"/>
  <c r="AA168"/>
  <c r="Z168"/>
  <c r="Y168"/>
  <c r="X168"/>
  <c r="AB168" s="1"/>
  <c r="T168"/>
  <c r="S168"/>
  <c r="U168" s="1"/>
  <c r="V168" s="1"/>
  <c r="R168"/>
  <c r="Q168"/>
  <c r="P168"/>
  <c r="J168"/>
  <c r="I168"/>
  <c r="H168"/>
  <c r="G168"/>
  <c r="F168"/>
  <c r="O168" s="1"/>
  <c r="E168"/>
  <c r="D168"/>
  <c r="C168"/>
  <c r="B168"/>
  <c r="A168"/>
  <c r="AI167"/>
  <c r="AH167"/>
  <c r="AG167"/>
  <c r="AF167"/>
  <c r="AB167"/>
  <c r="AE167" s="1"/>
  <c r="AA167"/>
  <c r="Z167"/>
  <c r="Y167"/>
  <c r="X167"/>
  <c r="T167"/>
  <c r="U167" s="1"/>
  <c r="S167"/>
  <c r="Q167"/>
  <c r="P167"/>
  <c r="H167"/>
  <c r="R167" s="1"/>
  <c r="G167"/>
  <c r="F167"/>
  <c r="E167"/>
  <c r="D167"/>
  <c r="C167"/>
  <c r="B167"/>
  <c r="A167"/>
  <c r="AI166"/>
  <c r="AH166"/>
  <c r="AG166"/>
  <c r="AF166"/>
  <c r="AA166"/>
  <c r="AB166" s="1"/>
  <c r="Z166"/>
  <c r="Y166"/>
  <c r="X166"/>
  <c r="T166"/>
  <c r="S166"/>
  <c r="U166" s="1"/>
  <c r="N166"/>
  <c r="L166"/>
  <c r="H166"/>
  <c r="R166" s="1"/>
  <c r="G166"/>
  <c r="I166" s="1"/>
  <c r="F166"/>
  <c r="E166"/>
  <c r="D166"/>
  <c r="C166"/>
  <c r="B166"/>
  <c r="A166"/>
  <c r="AI165"/>
  <c r="AH165"/>
  <c r="AG165"/>
  <c r="AF165"/>
  <c r="AA165"/>
  <c r="Z165"/>
  <c r="AB165" s="1"/>
  <c r="Y165"/>
  <c r="X165"/>
  <c r="U165"/>
  <c r="T165"/>
  <c r="S165"/>
  <c r="R165"/>
  <c r="P165"/>
  <c r="H165"/>
  <c r="Q165" s="1"/>
  <c r="G165"/>
  <c r="F165"/>
  <c r="E165"/>
  <c r="D165"/>
  <c r="C165"/>
  <c r="B165"/>
  <c r="A165"/>
  <c r="AI164"/>
  <c r="AH164"/>
  <c r="AG164"/>
  <c r="AF164"/>
  <c r="AA164"/>
  <c r="Z164"/>
  <c r="Y164"/>
  <c r="X164"/>
  <c r="T164"/>
  <c r="S164"/>
  <c r="U164" s="1"/>
  <c r="N164"/>
  <c r="M164"/>
  <c r="H164"/>
  <c r="P164" s="1"/>
  <c r="G164"/>
  <c r="I164" s="1"/>
  <c r="F164"/>
  <c r="O164" s="1"/>
  <c r="E164"/>
  <c r="D164"/>
  <c r="C164"/>
  <c r="B164"/>
  <c r="A164"/>
  <c r="AI163"/>
  <c r="AH163"/>
  <c r="AG163"/>
  <c r="AF163"/>
  <c r="AA163"/>
  <c r="Z163"/>
  <c r="Y163"/>
  <c r="X163"/>
  <c r="AB163" s="1"/>
  <c r="T163"/>
  <c r="S163"/>
  <c r="U163" s="1"/>
  <c r="V163" s="1"/>
  <c r="I163"/>
  <c r="H163"/>
  <c r="G163"/>
  <c r="F163"/>
  <c r="O163" s="1"/>
  <c r="E163"/>
  <c r="D163"/>
  <c r="C163"/>
  <c r="B163"/>
  <c r="A163"/>
  <c r="AI162"/>
  <c r="AH162"/>
  <c r="AG162"/>
  <c r="AF162"/>
  <c r="AA162"/>
  <c r="Z162"/>
  <c r="Y162"/>
  <c r="X162"/>
  <c r="AB162" s="1"/>
  <c r="T162"/>
  <c r="S162"/>
  <c r="U162" s="1"/>
  <c r="R162"/>
  <c r="O162"/>
  <c r="M162"/>
  <c r="L162"/>
  <c r="K162"/>
  <c r="J162"/>
  <c r="H162"/>
  <c r="P162" s="1"/>
  <c r="G162"/>
  <c r="F162"/>
  <c r="I162" s="1"/>
  <c r="N162" s="1"/>
  <c r="E162"/>
  <c r="D162"/>
  <c r="C162"/>
  <c r="B162"/>
  <c r="A162"/>
  <c r="AI161"/>
  <c r="AH161"/>
  <c r="AG161"/>
  <c r="AF161"/>
  <c r="AA161"/>
  <c r="AB161" s="1"/>
  <c r="Z161"/>
  <c r="Y161"/>
  <c r="X161"/>
  <c r="W161"/>
  <c r="V161"/>
  <c r="U161"/>
  <c r="T161"/>
  <c r="S161"/>
  <c r="R161"/>
  <c r="Q161"/>
  <c r="P161"/>
  <c r="O161"/>
  <c r="H161"/>
  <c r="G161"/>
  <c r="I161" s="1"/>
  <c r="F161"/>
  <c r="E161"/>
  <c r="D161"/>
  <c r="C161"/>
  <c r="B161"/>
  <c r="A161"/>
  <c r="AI160"/>
  <c r="AH160"/>
  <c r="AG160"/>
  <c r="AF160"/>
  <c r="AA160"/>
  <c r="Z160"/>
  <c r="Y160"/>
  <c r="AB160" s="1"/>
  <c r="X160"/>
  <c r="U160"/>
  <c r="V160" s="1"/>
  <c r="T160"/>
  <c r="S160"/>
  <c r="Q160"/>
  <c r="H160"/>
  <c r="P160" s="1"/>
  <c r="G160"/>
  <c r="F160"/>
  <c r="I160" s="1"/>
  <c r="E160"/>
  <c r="D160"/>
  <c r="C160"/>
  <c r="B160"/>
  <c r="A160"/>
  <c r="AI159"/>
  <c r="AH159"/>
  <c r="AG159"/>
  <c r="AF159"/>
  <c r="AA159"/>
  <c r="Z159"/>
  <c r="AB159" s="1"/>
  <c r="Y159"/>
  <c r="X159"/>
  <c r="T159"/>
  <c r="U159" s="1"/>
  <c r="S159"/>
  <c r="P159"/>
  <c r="H159"/>
  <c r="R159" s="1"/>
  <c r="G159"/>
  <c r="F159"/>
  <c r="E159"/>
  <c r="D159"/>
  <c r="C159"/>
  <c r="B159"/>
  <c r="A159"/>
  <c r="AI158"/>
  <c r="AH158"/>
  <c r="AG158"/>
  <c r="AF158"/>
  <c r="AD158"/>
  <c r="AB158"/>
  <c r="AA158"/>
  <c r="Z158"/>
  <c r="Y158"/>
  <c r="X158"/>
  <c r="T158"/>
  <c r="U158" s="1"/>
  <c r="S158"/>
  <c r="O158"/>
  <c r="N158"/>
  <c r="H158"/>
  <c r="Q158" s="1"/>
  <c r="G158"/>
  <c r="F158"/>
  <c r="I158" s="1"/>
  <c r="E158"/>
  <c r="D158"/>
  <c r="C158"/>
  <c r="B158"/>
  <c r="A158"/>
  <c r="AI157"/>
  <c r="AH157"/>
  <c r="AG157"/>
  <c r="AF157"/>
  <c r="AA157"/>
  <c r="Z157"/>
  <c r="Y157"/>
  <c r="X157"/>
  <c r="AB157" s="1"/>
  <c r="W157"/>
  <c r="T157"/>
  <c r="S157"/>
  <c r="U157" s="1"/>
  <c r="V157" s="1"/>
  <c r="O157"/>
  <c r="N157"/>
  <c r="M157"/>
  <c r="K157"/>
  <c r="J157"/>
  <c r="H157"/>
  <c r="G157"/>
  <c r="F157"/>
  <c r="I157" s="1"/>
  <c r="L157" s="1"/>
  <c r="E157"/>
  <c r="D157"/>
  <c r="C157"/>
  <c r="B157"/>
  <c r="A157"/>
  <c r="AI156"/>
  <c r="AH156"/>
  <c r="AG156"/>
  <c r="AF156"/>
  <c r="AE156"/>
  <c r="AA156"/>
  <c r="Z156"/>
  <c r="Y156"/>
  <c r="X156"/>
  <c r="AB156" s="1"/>
  <c r="T156"/>
  <c r="S156"/>
  <c r="U156" s="1"/>
  <c r="R156"/>
  <c r="Q156"/>
  <c r="P156"/>
  <c r="H156"/>
  <c r="G156"/>
  <c r="F156"/>
  <c r="E156"/>
  <c r="D156"/>
  <c r="C156"/>
  <c r="B156"/>
  <c r="A156"/>
  <c r="AI155"/>
  <c r="AH155"/>
  <c r="AG155"/>
  <c r="AF155"/>
  <c r="AB155"/>
  <c r="AC155" s="1"/>
  <c r="AA155"/>
  <c r="Z155"/>
  <c r="Y155"/>
  <c r="X155"/>
  <c r="W155"/>
  <c r="U155"/>
  <c r="V155" s="1"/>
  <c r="T155"/>
  <c r="S155"/>
  <c r="Q155"/>
  <c r="P155"/>
  <c r="L155"/>
  <c r="K155"/>
  <c r="J155"/>
  <c r="I155"/>
  <c r="N155" s="1"/>
  <c r="H155"/>
  <c r="R155" s="1"/>
  <c r="G155"/>
  <c r="F155"/>
  <c r="O155" s="1"/>
  <c r="E155"/>
  <c r="D155"/>
  <c r="C155"/>
  <c r="B155"/>
  <c r="A155"/>
  <c r="AI154"/>
  <c r="AH154"/>
  <c r="AG154"/>
  <c r="AF154"/>
  <c r="AA154"/>
  <c r="Z154"/>
  <c r="AB154" s="1"/>
  <c r="Y154"/>
  <c r="X154"/>
  <c r="T154"/>
  <c r="U154" s="1"/>
  <c r="S154"/>
  <c r="Q154"/>
  <c r="L154"/>
  <c r="H154"/>
  <c r="R154" s="1"/>
  <c r="G154"/>
  <c r="I154" s="1"/>
  <c r="K154" s="1"/>
  <c r="F154"/>
  <c r="E154"/>
  <c r="D154"/>
  <c r="C154"/>
  <c r="B154"/>
  <c r="A154"/>
  <c r="AI153"/>
  <c r="AH153"/>
  <c r="AG153"/>
  <c r="AF153"/>
  <c r="AB153"/>
  <c r="AC153" s="1"/>
  <c r="AA153"/>
  <c r="Z153"/>
  <c r="Y153"/>
  <c r="X153"/>
  <c r="U153"/>
  <c r="W153" s="1"/>
  <c r="T153"/>
  <c r="S153"/>
  <c r="H153"/>
  <c r="G153"/>
  <c r="F153"/>
  <c r="E153"/>
  <c r="D153"/>
  <c r="C153"/>
  <c r="B153"/>
  <c r="A153"/>
  <c r="AI152"/>
  <c r="AH152"/>
  <c r="AG152"/>
  <c r="AF152"/>
  <c r="AE152"/>
  <c r="AD152"/>
  <c r="AA152"/>
  <c r="Z152"/>
  <c r="Y152"/>
  <c r="X152"/>
  <c r="AB152" s="1"/>
  <c r="AC152" s="1"/>
  <c r="U152"/>
  <c r="W152" s="1"/>
  <c r="T152"/>
  <c r="S152"/>
  <c r="Q152"/>
  <c r="O152"/>
  <c r="I152"/>
  <c r="K152" s="1"/>
  <c r="H152"/>
  <c r="P152" s="1"/>
  <c r="G152"/>
  <c r="F152"/>
  <c r="E152"/>
  <c r="D152"/>
  <c r="C152"/>
  <c r="B152"/>
  <c r="A152"/>
  <c r="AI151"/>
  <c r="AH151"/>
  <c r="AG151"/>
  <c r="AF151"/>
  <c r="AA151"/>
  <c r="Z151"/>
  <c r="Y151"/>
  <c r="X151"/>
  <c r="T151"/>
  <c r="S151"/>
  <c r="U151" s="1"/>
  <c r="R151"/>
  <c r="Q151"/>
  <c r="P151"/>
  <c r="H151"/>
  <c r="G151"/>
  <c r="F151"/>
  <c r="E151"/>
  <c r="D151"/>
  <c r="C151"/>
  <c r="B151"/>
  <c r="A151"/>
  <c r="AI150"/>
  <c r="AH150"/>
  <c r="AG150"/>
  <c r="AF150"/>
  <c r="AB150"/>
  <c r="AE150" s="1"/>
  <c r="AA150"/>
  <c r="Z150"/>
  <c r="Y150"/>
  <c r="X150"/>
  <c r="T150"/>
  <c r="S150"/>
  <c r="Q150"/>
  <c r="P150"/>
  <c r="H150"/>
  <c r="R150" s="1"/>
  <c r="G150"/>
  <c r="F150"/>
  <c r="E150"/>
  <c r="D150"/>
  <c r="C150"/>
  <c r="B150"/>
  <c r="A150"/>
  <c r="AI149"/>
  <c r="AH149"/>
  <c r="AG149"/>
  <c r="AF149"/>
  <c r="AD149"/>
  <c r="AA149"/>
  <c r="Z149"/>
  <c r="Y149"/>
  <c r="X149"/>
  <c r="AB149" s="1"/>
  <c r="AE149" s="1"/>
  <c r="T149"/>
  <c r="S149"/>
  <c r="U149" s="1"/>
  <c r="R149"/>
  <c r="Q149"/>
  <c r="P149"/>
  <c r="K149"/>
  <c r="I149"/>
  <c r="M149" s="1"/>
  <c r="H149"/>
  <c r="G149"/>
  <c r="F149"/>
  <c r="O149" s="1"/>
  <c r="E149"/>
  <c r="D149"/>
  <c r="C149"/>
  <c r="B149"/>
  <c r="A149"/>
  <c r="AI148"/>
  <c r="AH148"/>
  <c r="AG148"/>
  <c r="AF148"/>
  <c r="AA148"/>
  <c r="Z148"/>
  <c r="AB148" s="1"/>
  <c r="Y148"/>
  <c r="X148"/>
  <c r="U148"/>
  <c r="V148" s="1"/>
  <c r="T148"/>
  <c r="S148"/>
  <c r="O148"/>
  <c r="H148"/>
  <c r="P148" s="1"/>
  <c r="G148"/>
  <c r="F148"/>
  <c r="I148" s="1"/>
  <c r="N148" s="1"/>
  <c r="E148"/>
  <c r="D148"/>
  <c r="C148"/>
  <c r="B148"/>
  <c r="A148"/>
  <c r="AI147"/>
  <c r="AH147"/>
  <c r="AG147"/>
  <c r="AF147"/>
  <c r="AA147"/>
  <c r="Z147"/>
  <c r="Y147"/>
  <c r="X147"/>
  <c r="AB147" s="1"/>
  <c r="T147"/>
  <c r="S147"/>
  <c r="U147" s="1"/>
  <c r="W147" s="1"/>
  <c r="O147"/>
  <c r="I147"/>
  <c r="H147"/>
  <c r="G147"/>
  <c r="F147"/>
  <c r="E147"/>
  <c r="D147"/>
  <c r="C147"/>
  <c r="B147"/>
  <c r="A147"/>
  <c r="AI146"/>
  <c r="AH146"/>
  <c r="AG146"/>
  <c r="AF146"/>
  <c r="AE146"/>
  <c r="AA146"/>
  <c r="Z146"/>
  <c r="Y146"/>
  <c r="X146"/>
  <c r="AB146" s="1"/>
  <c r="T146"/>
  <c r="S146"/>
  <c r="U146" s="1"/>
  <c r="R146"/>
  <c r="P146"/>
  <c r="M146"/>
  <c r="L146"/>
  <c r="K146"/>
  <c r="I146"/>
  <c r="J146" s="1"/>
  <c r="H146"/>
  <c r="Q146" s="1"/>
  <c r="G146"/>
  <c r="O146" s="1"/>
  <c r="F146"/>
  <c r="E146"/>
  <c r="D146"/>
  <c r="C146"/>
  <c r="B146"/>
  <c r="A146"/>
  <c r="AI145"/>
  <c r="AH145"/>
  <c r="AG145"/>
  <c r="AF145"/>
  <c r="AA145"/>
  <c r="Z145"/>
  <c r="Y145"/>
  <c r="X145"/>
  <c r="T145"/>
  <c r="S145"/>
  <c r="U145" s="1"/>
  <c r="W145" s="1"/>
  <c r="R145"/>
  <c r="Q145"/>
  <c r="H145"/>
  <c r="P145" s="1"/>
  <c r="G145"/>
  <c r="F145"/>
  <c r="E145"/>
  <c r="D145"/>
  <c r="C145"/>
  <c r="B145"/>
  <c r="A145"/>
  <c r="AI144"/>
  <c r="AH144"/>
  <c r="AG144"/>
  <c r="AF144"/>
  <c r="AB144"/>
  <c r="AE144" s="1"/>
  <c r="AA144"/>
  <c r="Z144"/>
  <c r="Y144"/>
  <c r="X144"/>
  <c r="U144"/>
  <c r="W144" s="1"/>
  <c r="T144"/>
  <c r="S144"/>
  <c r="R144"/>
  <c r="Q144"/>
  <c r="P144"/>
  <c r="I144"/>
  <c r="H144"/>
  <c r="G144"/>
  <c r="F144"/>
  <c r="O144" s="1"/>
  <c r="E144"/>
  <c r="D144"/>
  <c r="C144"/>
  <c r="B144"/>
  <c r="A144"/>
  <c r="AI143"/>
  <c r="AH143"/>
  <c r="AG143"/>
  <c r="AF143"/>
  <c r="AD143"/>
  <c r="AA143"/>
  <c r="Z143"/>
  <c r="Y143"/>
  <c r="X143"/>
  <c r="AB143" s="1"/>
  <c r="T143"/>
  <c r="U143" s="1"/>
  <c r="S143"/>
  <c r="R143"/>
  <c r="P143"/>
  <c r="H143"/>
  <c r="Q143" s="1"/>
  <c r="G143"/>
  <c r="F143"/>
  <c r="E143"/>
  <c r="D143"/>
  <c r="C143"/>
  <c r="B143"/>
  <c r="A143"/>
  <c r="AI142"/>
  <c r="AH142"/>
  <c r="AG142"/>
  <c r="AF142"/>
  <c r="AB142"/>
  <c r="AA142"/>
  <c r="Z142"/>
  <c r="Y142"/>
  <c r="X142"/>
  <c r="T142"/>
  <c r="U142" s="1"/>
  <c r="S142"/>
  <c r="O142"/>
  <c r="N142"/>
  <c r="J142"/>
  <c r="I142"/>
  <c r="M142" s="1"/>
  <c r="H142"/>
  <c r="R142" s="1"/>
  <c r="G142"/>
  <c r="F142"/>
  <c r="E142"/>
  <c r="D142"/>
  <c r="C142"/>
  <c r="B142"/>
  <c r="A142"/>
  <c r="AI141"/>
  <c r="AH141"/>
  <c r="AG141"/>
  <c r="AF141"/>
  <c r="AA141"/>
  <c r="Z141"/>
  <c r="Y141"/>
  <c r="X141"/>
  <c r="AB141" s="1"/>
  <c r="T141"/>
  <c r="S141"/>
  <c r="U141" s="1"/>
  <c r="Q141"/>
  <c r="M141"/>
  <c r="L141"/>
  <c r="H141"/>
  <c r="P141" s="1"/>
  <c r="G141"/>
  <c r="I141" s="1"/>
  <c r="F141"/>
  <c r="O141" s="1"/>
  <c r="E141"/>
  <c r="D141"/>
  <c r="C141"/>
  <c r="B141"/>
  <c r="A141"/>
  <c r="AI140"/>
  <c r="AH140"/>
  <c r="AG140"/>
  <c r="AF140"/>
  <c r="AA140"/>
  <c r="Z140"/>
  <c r="Y140"/>
  <c r="X140"/>
  <c r="AB140" s="1"/>
  <c r="W140"/>
  <c r="T140"/>
  <c r="S140"/>
  <c r="U140" s="1"/>
  <c r="V140" s="1"/>
  <c r="R140"/>
  <c r="P140"/>
  <c r="L140"/>
  <c r="K140"/>
  <c r="H140"/>
  <c r="Q140" s="1"/>
  <c r="G140"/>
  <c r="F140"/>
  <c r="I140" s="1"/>
  <c r="E140"/>
  <c r="D140"/>
  <c r="C140"/>
  <c r="B140"/>
  <c r="A140"/>
  <c r="AI139"/>
  <c r="AH139"/>
  <c r="AG139"/>
  <c r="AF139"/>
  <c r="AA139"/>
  <c r="AB139" s="1"/>
  <c r="Z139"/>
  <c r="Y139"/>
  <c r="X139"/>
  <c r="W139"/>
  <c r="V139"/>
  <c r="T139"/>
  <c r="S139"/>
  <c r="U139" s="1"/>
  <c r="R139"/>
  <c r="Q139"/>
  <c r="P139"/>
  <c r="O139"/>
  <c r="H139"/>
  <c r="G139"/>
  <c r="F139"/>
  <c r="I139" s="1"/>
  <c r="E139"/>
  <c r="D139"/>
  <c r="C139"/>
  <c r="B139"/>
  <c r="A139"/>
  <c r="AI138"/>
  <c r="AH138"/>
  <c r="AG138"/>
  <c r="AF138"/>
  <c r="AB138"/>
  <c r="AE138" s="1"/>
  <c r="AA138"/>
  <c r="Z138"/>
  <c r="Y138"/>
  <c r="X138"/>
  <c r="U138"/>
  <c r="W138" s="1"/>
  <c r="T138"/>
  <c r="S138"/>
  <c r="R138"/>
  <c r="Q138"/>
  <c r="P138"/>
  <c r="I138"/>
  <c r="H138"/>
  <c r="G138"/>
  <c r="F138"/>
  <c r="O138" s="1"/>
  <c r="E138"/>
  <c r="D138"/>
  <c r="C138"/>
  <c r="B138"/>
  <c r="A138"/>
  <c r="AI137"/>
  <c r="AH137"/>
  <c r="AG137"/>
  <c r="AF137"/>
  <c r="AA137"/>
  <c r="Z137"/>
  <c r="Y137"/>
  <c r="AB137" s="1"/>
  <c r="X137"/>
  <c r="T137"/>
  <c r="U137" s="1"/>
  <c r="S137"/>
  <c r="O137"/>
  <c r="I137"/>
  <c r="H137"/>
  <c r="G137"/>
  <c r="F137"/>
  <c r="E137"/>
  <c r="D137"/>
  <c r="C137"/>
  <c r="B137"/>
  <c r="A137"/>
  <c r="AI136"/>
  <c r="AH136"/>
  <c r="AG136"/>
  <c r="AF136"/>
  <c r="AA136"/>
  <c r="Z136"/>
  <c r="Y136"/>
  <c r="X136"/>
  <c r="AB136" s="1"/>
  <c r="T136"/>
  <c r="S136"/>
  <c r="U136" s="1"/>
  <c r="H136"/>
  <c r="G136"/>
  <c r="F136"/>
  <c r="E136"/>
  <c r="D136"/>
  <c r="C136"/>
  <c r="B136"/>
  <c r="A136"/>
  <c r="AI135"/>
  <c r="AH135"/>
  <c r="AG135"/>
  <c r="AF135"/>
  <c r="AD135"/>
  <c r="AA135"/>
  <c r="Z135"/>
  <c r="Y135"/>
  <c r="X135"/>
  <c r="AB135" s="1"/>
  <c r="AC135" s="1"/>
  <c r="T135"/>
  <c r="S135"/>
  <c r="U135" s="1"/>
  <c r="R135"/>
  <c r="H135"/>
  <c r="P135" s="1"/>
  <c r="G135"/>
  <c r="F135"/>
  <c r="E135"/>
  <c r="D135"/>
  <c r="C135"/>
  <c r="B135"/>
  <c r="A135"/>
  <c r="AI134"/>
  <c r="AH134"/>
  <c r="AG134"/>
  <c r="AF134"/>
  <c r="AD134"/>
  <c r="AA134"/>
  <c r="Z134"/>
  <c r="Y134"/>
  <c r="X134"/>
  <c r="AB134" s="1"/>
  <c r="AE134" s="1"/>
  <c r="T134"/>
  <c r="S134"/>
  <c r="U134" s="1"/>
  <c r="R134"/>
  <c r="Q134"/>
  <c r="H134"/>
  <c r="P134" s="1"/>
  <c r="G134"/>
  <c r="F134"/>
  <c r="E134"/>
  <c r="D134"/>
  <c r="C134"/>
  <c r="B134"/>
  <c r="A134"/>
  <c r="AI133"/>
  <c r="AH133"/>
  <c r="AG133"/>
  <c r="AF133"/>
  <c r="AB133"/>
  <c r="AC133" s="1"/>
  <c r="AA133"/>
  <c r="Z133"/>
  <c r="Y133"/>
  <c r="X133"/>
  <c r="W133"/>
  <c r="U133"/>
  <c r="V133" s="1"/>
  <c r="T133"/>
  <c r="S133"/>
  <c r="R133"/>
  <c r="Q133"/>
  <c r="P133"/>
  <c r="K133"/>
  <c r="I133"/>
  <c r="N133" s="1"/>
  <c r="H133"/>
  <c r="G133"/>
  <c r="F133"/>
  <c r="O133" s="1"/>
  <c r="E133"/>
  <c r="D133"/>
  <c r="C133"/>
  <c r="B133"/>
  <c r="A133"/>
  <c r="AI132"/>
  <c r="AH132"/>
  <c r="AG132"/>
  <c r="AF132"/>
  <c r="AA132"/>
  <c r="AB132" s="1"/>
  <c r="Z132"/>
  <c r="Y132"/>
  <c r="X132"/>
  <c r="T132"/>
  <c r="U132" s="1"/>
  <c r="W132" s="1"/>
  <c r="S132"/>
  <c r="P132"/>
  <c r="O132"/>
  <c r="L132"/>
  <c r="K132"/>
  <c r="J132"/>
  <c r="I132"/>
  <c r="M132" s="1"/>
  <c r="H132"/>
  <c r="Q132" s="1"/>
  <c r="G132"/>
  <c r="F132"/>
  <c r="E132"/>
  <c r="D132"/>
  <c r="C132"/>
  <c r="B132"/>
  <c r="A132"/>
  <c r="AI131"/>
  <c r="AH131"/>
  <c r="AG131"/>
  <c r="AF131"/>
  <c r="AA131"/>
  <c r="Z131"/>
  <c r="Y131"/>
  <c r="X131"/>
  <c r="U131"/>
  <c r="T131"/>
  <c r="S131"/>
  <c r="O131"/>
  <c r="N131"/>
  <c r="I131"/>
  <c r="H131"/>
  <c r="P131" s="1"/>
  <c r="G131"/>
  <c r="F131"/>
  <c r="E131"/>
  <c r="D131"/>
  <c r="C131"/>
  <c r="B131"/>
  <c r="A131"/>
  <c r="AI130"/>
  <c r="AH130"/>
  <c r="AG130"/>
  <c r="AF130"/>
  <c r="AA130"/>
  <c r="Z130"/>
  <c r="Y130"/>
  <c r="X130"/>
  <c r="T130"/>
  <c r="U130" s="1"/>
  <c r="S130"/>
  <c r="H130"/>
  <c r="G130"/>
  <c r="F130"/>
  <c r="O130" s="1"/>
  <c r="E130"/>
  <c r="D130"/>
  <c r="C130"/>
  <c r="B130"/>
  <c r="A130"/>
  <c r="AI129"/>
  <c r="AH129"/>
  <c r="AG129"/>
  <c r="AF129"/>
  <c r="AE129"/>
  <c r="AA129"/>
  <c r="Z129"/>
  <c r="Y129"/>
  <c r="X129"/>
  <c r="AB129" s="1"/>
  <c r="T129"/>
  <c r="S129"/>
  <c r="U129" s="1"/>
  <c r="Q129"/>
  <c r="M129"/>
  <c r="L129"/>
  <c r="H129"/>
  <c r="P129" s="1"/>
  <c r="G129"/>
  <c r="I129" s="1"/>
  <c r="F129"/>
  <c r="O129" s="1"/>
  <c r="E129"/>
  <c r="D129"/>
  <c r="C129"/>
  <c r="B129"/>
  <c r="A129"/>
  <c r="AI128"/>
  <c r="AH128"/>
  <c r="AG128"/>
  <c r="AF128"/>
  <c r="AA128"/>
  <c r="Z128"/>
  <c r="Y128"/>
  <c r="X128"/>
  <c r="AB128" s="1"/>
  <c r="T128"/>
  <c r="S128"/>
  <c r="U128" s="1"/>
  <c r="V128" s="1"/>
  <c r="R128"/>
  <c r="P128"/>
  <c r="H128"/>
  <c r="Q128" s="1"/>
  <c r="G128"/>
  <c r="F128"/>
  <c r="E128"/>
  <c r="D128"/>
  <c r="C128"/>
  <c r="B128"/>
  <c r="A128"/>
  <c r="AI127"/>
  <c r="AH127"/>
  <c r="AG127"/>
  <c r="AF127"/>
  <c r="AA127"/>
  <c r="AB127" s="1"/>
  <c r="Z127"/>
  <c r="Y127"/>
  <c r="X127"/>
  <c r="W127"/>
  <c r="V127"/>
  <c r="T127"/>
  <c r="S127"/>
  <c r="U127" s="1"/>
  <c r="R127"/>
  <c r="Q127"/>
  <c r="P127"/>
  <c r="O127"/>
  <c r="K127"/>
  <c r="J127"/>
  <c r="H127"/>
  <c r="G127"/>
  <c r="F127"/>
  <c r="I127" s="1"/>
  <c r="E127"/>
  <c r="D127"/>
  <c r="C127"/>
  <c r="B127"/>
  <c r="A127"/>
  <c r="AI126"/>
  <c r="AH126"/>
  <c r="AG126"/>
  <c r="AF126"/>
  <c r="AB126"/>
  <c r="AA126"/>
  <c r="Z126"/>
  <c r="Y126"/>
  <c r="X126"/>
  <c r="V126"/>
  <c r="U126"/>
  <c r="W126" s="1"/>
  <c r="T126"/>
  <c r="S126"/>
  <c r="R126"/>
  <c r="Q126"/>
  <c r="P126"/>
  <c r="N126"/>
  <c r="I126"/>
  <c r="J126" s="1"/>
  <c r="H126"/>
  <c r="G126"/>
  <c r="F126"/>
  <c r="O126" s="1"/>
  <c r="E126"/>
  <c r="D126"/>
  <c r="C126"/>
  <c r="B126"/>
  <c r="A126"/>
  <c r="AI125"/>
  <c r="AH125"/>
  <c r="AG125"/>
  <c r="AF125"/>
  <c r="AA125"/>
  <c r="Z125"/>
  <c r="Y125"/>
  <c r="X125"/>
  <c r="T125"/>
  <c r="U125" s="1"/>
  <c r="S125"/>
  <c r="O125"/>
  <c r="I125"/>
  <c r="M125" s="1"/>
  <c r="H125"/>
  <c r="G125"/>
  <c r="F125"/>
  <c r="E125"/>
  <c r="D125"/>
  <c r="C125"/>
  <c r="B125"/>
  <c r="A125"/>
  <c r="AI124"/>
  <c r="AH124"/>
  <c r="AG124"/>
  <c r="AF124"/>
  <c r="AA124"/>
  <c r="Z124"/>
  <c r="Y124"/>
  <c r="X124"/>
  <c r="T124"/>
  <c r="S124"/>
  <c r="H124"/>
  <c r="G124"/>
  <c r="F124"/>
  <c r="E124"/>
  <c r="D124"/>
  <c r="C124"/>
  <c r="B124"/>
  <c r="A124"/>
  <c r="AI123"/>
  <c r="AH123"/>
  <c r="AG123"/>
  <c r="AF123"/>
  <c r="AE123"/>
  <c r="AD123"/>
  <c r="AA123"/>
  <c r="Z123"/>
  <c r="Y123"/>
  <c r="X123"/>
  <c r="AB123" s="1"/>
  <c r="AC123" s="1"/>
  <c r="W123"/>
  <c r="T123"/>
  <c r="S123"/>
  <c r="U123" s="1"/>
  <c r="V123" s="1"/>
  <c r="R123"/>
  <c r="H123"/>
  <c r="P123" s="1"/>
  <c r="G123"/>
  <c r="F123"/>
  <c r="E123"/>
  <c r="D123"/>
  <c r="C123"/>
  <c r="B123"/>
  <c r="A123"/>
  <c r="AI122"/>
  <c r="AH122"/>
  <c r="AG122"/>
  <c r="AF122"/>
  <c r="AD122"/>
  <c r="AC122"/>
  <c r="AA122"/>
  <c r="Z122"/>
  <c r="Y122"/>
  <c r="X122"/>
  <c r="AB122" s="1"/>
  <c r="AE122" s="1"/>
  <c r="V122"/>
  <c r="T122"/>
  <c r="S122"/>
  <c r="U122" s="1"/>
  <c r="W122" s="1"/>
  <c r="R122"/>
  <c r="Q122"/>
  <c r="H122"/>
  <c r="P122" s="1"/>
  <c r="G122"/>
  <c r="F122"/>
  <c r="E122"/>
  <c r="D122"/>
  <c r="C122"/>
  <c r="B122"/>
  <c r="A122"/>
  <c r="AI121"/>
  <c r="AH121"/>
  <c r="AG121"/>
  <c r="AF121"/>
  <c r="AB121"/>
  <c r="AC121" s="1"/>
  <c r="AA121"/>
  <c r="Z121"/>
  <c r="Y121"/>
  <c r="X121"/>
  <c r="W121"/>
  <c r="U121"/>
  <c r="V121" s="1"/>
  <c r="T121"/>
  <c r="S121"/>
  <c r="R121"/>
  <c r="Q121"/>
  <c r="P121"/>
  <c r="K121"/>
  <c r="I121"/>
  <c r="H121"/>
  <c r="G121"/>
  <c r="F121"/>
  <c r="O121" s="1"/>
  <c r="E121"/>
  <c r="D121"/>
  <c r="C121"/>
  <c r="B121"/>
  <c r="A121"/>
  <c r="AI120"/>
  <c r="AH120"/>
  <c r="AG120"/>
  <c r="AF120"/>
  <c r="AA120"/>
  <c r="AB120" s="1"/>
  <c r="Z120"/>
  <c r="Y120"/>
  <c r="X120"/>
  <c r="T120"/>
  <c r="U120" s="1"/>
  <c r="W120" s="1"/>
  <c r="S120"/>
  <c r="P120"/>
  <c r="O120"/>
  <c r="L120"/>
  <c r="K120"/>
  <c r="J120"/>
  <c r="I120"/>
  <c r="M120" s="1"/>
  <c r="H120"/>
  <c r="G120"/>
  <c r="F120"/>
  <c r="E120"/>
  <c r="D120"/>
  <c r="C120"/>
  <c r="B120"/>
  <c r="A120"/>
  <c r="AI119"/>
  <c r="AH119"/>
  <c r="AG119"/>
  <c r="AF119"/>
  <c r="AA119"/>
  <c r="Z119"/>
  <c r="Y119"/>
  <c r="X119"/>
  <c r="T119"/>
  <c r="S119"/>
  <c r="U119" s="1"/>
  <c r="O119"/>
  <c r="H119"/>
  <c r="P119" s="1"/>
  <c r="G119"/>
  <c r="I119" s="1"/>
  <c r="F119"/>
  <c r="E119"/>
  <c r="D119"/>
  <c r="C119"/>
  <c r="B119"/>
  <c r="A119"/>
  <c r="AI118"/>
  <c r="AH118"/>
  <c r="AG118"/>
  <c r="AF118"/>
  <c r="AA118"/>
  <c r="Z118"/>
  <c r="Y118"/>
  <c r="X118"/>
  <c r="T118"/>
  <c r="S118"/>
  <c r="R118"/>
  <c r="H118"/>
  <c r="G118"/>
  <c r="F118"/>
  <c r="E118"/>
  <c r="D118"/>
  <c r="C118"/>
  <c r="B118"/>
  <c r="A118"/>
  <c r="AI117"/>
  <c r="AH117"/>
  <c r="AG117"/>
  <c r="AF117"/>
  <c r="AA117"/>
  <c r="Z117"/>
  <c r="Y117"/>
  <c r="X117"/>
  <c r="T117"/>
  <c r="S117"/>
  <c r="U117" s="1"/>
  <c r="Q117"/>
  <c r="M117"/>
  <c r="L117"/>
  <c r="H117"/>
  <c r="P117" s="1"/>
  <c r="G117"/>
  <c r="I117" s="1"/>
  <c r="F117"/>
  <c r="O117" s="1"/>
  <c r="E117"/>
  <c r="D117"/>
  <c r="C117"/>
  <c r="B117"/>
  <c r="A117"/>
  <c r="AI116"/>
  <c r="AH116"/>
  <c r="AG116"/>
  <c r="AF116"/>
  <c r="AA116"/>
  <c r="Z116"/>
  <c r="Y116"/>
  <c r="X116"/>
  <c r="AB116" s="1"/>
  <c r="T116"/>
  <c r="S116"/>
  <c r="U116" s="1"/>
  <c r="V116" s="1"/>
  <c r="R116"/>
  <c r="P116"/>
  <c r="H116"/>
  <c r="Q116" s="1"/>
  <c r="G116"/>
  <c r="F116"/>
  <c r="E116"/>
  <c r="D116"/>
  <c r="C116"/>
  <c r="B116"/>
  <c r="A116"/>
  <c r="AI115"/>
  <c r="AH115"/>
  <c r="AG115"/>
  <c r="AF115"/>
  <c r="AA115"/>
  <c r="AB115" s="1"/>
  <c r="AC115" s="1"/>
  <c r="Z115"/>
  <c r="Y115"/>
  <c r="X115"/>
  <c r="W115"/>
  <c r="V115"/>
  <c r="T115"/>
  <c r="S115"/>
  <c r="U115" s="1"/>
  <c r="R115"/>
  <c r="Q115"/>
  <c r="P115"/>
  <c r="O115"/>
  <c r="K115"/>
  <c r="J115"/>
  <c r="H115"/>
  <c r="G115"/>
  <c r="F115"/>
  <c r="I115" s="1"/>
  <c r="E115"/>
  <c r="D115"/>
  <c r="C115"/>
  <c r="B115"/>
  <c r="A115"/>
  <c r="AI114"/>
  <c r="AH114"/>
  <c r="AG114"/>
  <c r="AF114"/>
  <c r="AB114"/>
  <c r="AA114"/>
  <c r="Z114"/>
  <c r="Y114"/>
  <c r="X114"/>
  <c r="U114"/>
  <c r="W114" s="1"/>
  <c r="T114"/>
  <c r="S114"/>
  <c r="R114"/>
  <c r="Q114"/>
  <c r="P114"/>
  <c r="N114"/>
  <c r="J114"/>
  <c r="I114"/>
  <c r="H114"/>
  <c r="G114"/>
  <c r="F114"/>
  <c r="O114" s="1"/>
  <c r="E114"/>
  <c r="D114"/>
  <c r="C114"/>
  <c r="B114"/>
  <c r="A114"/>
  <c r="AI113"/>
  <c r="AH113"/>
  <c r="AG113"/>
  <c r="AF113"/>
  <c r="AA113"/>
  <c r="Z113"/>
  <c r="Y113"/>
  <c r="X113"/>
  <c r="T113"/>
  <c r="U113" s="1"/>
  <c r="S113"/>
  <c r="O113"/>
  <c r="I113"/>
  <c r="M113" s="1"/>
  <c r="H113"/>
  <c r="G113"/>
  <c r="F113"/>
  <c r="E113"/>
  <c r="D113"/>
  <c r="C113"/>
  <c r="B113"/>
  <c r="A113"/>
  <c r="AI112"/>
  <c r="AH112"/>
  <c r="AG112"/>
  <c r="AF112"/>
  <c r="AA112"/>
  <c r="Z112"/>
  <c r="Y112"/>
  <c r="X112"/>
  <c r="T112"/>
  <c r="S112"/>
  <c r="H112"/>
  <c r="G112"/>
  <c r="F112"/>
  <c r="E112"/>
  <c r="D112"/>
  <c r="C112"/>
  <c r="B112"/>
  <c r="A112"/>
  <c r="AI111"/>
  <c r="AH111"/>
  <c r="AG111"/>
  <c r="AF111"/>
  <c r="AA111"/>
  <c r="Z111"/>
  <c r="Y111"/>
  <c r="X111"/>
  <c r="T111"/>
  <c r="S111"/>
  <c r="U111" s="1"/>
  <c r="V111" s="1"/>
  <c r="R111"/>
  <c r="H111"/>
  <c r="P111" s="1"/>
  <c r="G111"/>
  <c r="F111"/>
  <c r="E111"/>
  <c r="D111"/>
  <c r="C111"/>
  <c r="B111"/>
  <c r="A111"/>
  <c r="AI110"/>
  <c r="AH110"/>
  <c r="AG110"/>
  <c r="AF110"/>
  <c r="AD110"/>
  <c r="AC110"/>
  <c r="AA110"/>
  <c r="Z110"/>
  <c r="Y110"/>
  <c r="X110"/>
  <c r="AB110" s="1"/>
  <c r="AE110" s="1"/>
  <c r="T110"/>
  <c r="S110"/>
  <c r="U110" s="1"/>
  <c r="W110" s="1"/>
  <c r="R110"/>
  <c r="Q110"/>
  <c r="H110"/>
  <c r="P110" s="1"/>
  <c r="G110"/>
  <c r="F110"/>
  <c r="E110"/>
  <c r="D110"/>
  <c r="C110"/>
  <c r="B110"/>
  <c r="A110"/>
  <c r="AI109"/>
  <c r="AH109"/>
  <c r="AG109"/>
  <c r="AF109"/>
  <c r="AB109"/>
  <c r="AC109" s="1"/>
  <c r="AA109"/>
  <c r="Z109"/>
  <c r="Y109"/>
  <c r="X109"/>
  <c r="U109"/>
  <c r="V109" s="1"/>
  <c r="T109"/>
  <c r="S109"/>
  <c r="R109"/>
  <c r="Q109"/>
  <c r="P109"/>
  <c r="K109"/>
  <c r="I109"/>
  <c r="H109"/>
  <c r="G109"/>
  <c r="F109"/>
  <c r="O109" s="1"/>
  <c r="E109"/>
  <c r="D109"/>
  <c r="C109"/>
  <c r="B109"/>
  <c r="A109"/>
  <c r="AI108"/>
  <c r="AH108"/>
  <c r="AG108"/>
  <c r="AF108"/>
  <c r="AB108"/>
  <c r="AA108"/>
  <c r="Z108"/>
  <c r="Y108"/>
  <c r="X108"/>
  <c r="T108"/>
  <c r="U108" s="1"/>
  <c r="W108" s="1"/>
  <c r="S108"/>
  <c r="P108"/>
  <c r="O108"/>
  <c r="L108"/>
  <c r="J108"/>
  <c r="I108"/>
  <c r="M108" s="1"/>
  <c r="H108"/>
  <c r="G108"/>
  <c r="F108"/>
  <c r="E108"/>
  <c r="D108"/>
  <c r="C108"/>
  <c r="B108"/>
  <c r="A108"/>
  <c r="AI107"/>
  <c r="AH107"/>
  <c r="AG107"/>
  <c r="AF107"/>
  <c r="AA107"/>
  <c r="Z107"/>
  <c r="Y107"/>
  <c r="X107"/>
  <c r="U107"/>
  <c r="T107"/>
  <c r="S107"/>
  <c r="O107"/>
  <c r="N107"/>
  <c r="I107"/>
  <c r="H107"/>
  <c r="P107" s="1"/>
  <c r="G107"/>
  <c r="F107"/>
  <c r="E107"/>
  <c r="D107"/>
  <c r="C107"/>
  <c r="B107"/>
  <c r="A107"/>
  <c r="AI106"/>
  <c r="AH106"/>
  <c r="AG106"/>
  <c r="AF106"/>
  <c r="AA106"/>
  <c r="Z106"/>
  <c r="Y106"/>
  <c r="X106"/>
  <c r="AB106" s="1"/>
  <c r="T106"/>
  <c r="S106"/>
  <c r="U106" s="1"/>
  <c r="H106"/>
  <c r="R106" s="1"/>
  <c r="G106"/>
  <c r="F106"/>
  <c r="E106"/>
  <c r="D106"/>
  <c r="C106"/>
  <c r="B106"/>
  <c r="A106"/>
  <c r="AI105"/>
  <c r="AH105"/>
  <c r="AG105"/>
  <c r="AF105"/>
  <c r="AA105"/>
  <c r="Z105"/>
  <c r="Y105"/>
  <c r="X105"/>
  <c r="T105"/>
  <c r="S105"/>
  <c r="U105" s="1"/>
  <c r="Q105"/>
  <c r="H105"/>
  <c r="P105" s="1"/>
  <c r="G105"/>
  <c r="I105" s="1"/>
  <c r="L105" s="1"/>
  <c r="F105"/>
  <c r="E105"/>
  <c r="D105"/>
  <c r="C105"/>
  <c r="B105"/>
  <c r="A105"/>
  <c r="AI104"/>
  <c r="AH104"/>
  <c r="AG104"/>
  <c r="AF104"/>
  <c r="AB104"/>
  <c r="AD104" s="1"/>
  <c r="AA104"/>
  <c r="Z104"/>
  <c r="Y104"/>
  <c r="X104"/>
  <c r="T104"/>
  <c r="S104"/>
  <c r="U104" s="1"/>
  <c r="V104" s="1"/>
  <c r="R104"/>
  <c r="P104"/>
  <c r="H104"/>
  <c r="Q104" s="1"/>
  <c r="G104"/>
  <c r="F104"/>
  <c r="E104"/>
  <c r="D104"/>
  <c r="C104"/>
  <c r="B104"/>
  <c r="A104"/>
  <c r="AI103"/>
  <c r="AH103"/>
  <c r="AG103"/>
  <c r="AF103"/>
  <c r="AC103"/>
  <c r="AA103"/>
  <c r="AB103" s="1"/>
  <c r="Z103"/>
  <c r="Y103"/>
  <c r="X103"/>
  <c r="V103"/>
  <c r="T103"/>
  <c r="S103"/>
  <c r="U103" s="1"/>
  <c r="W103" s="1"/>
  <c r="R103"/>
  <c r="Q103"/>
  <c r="P103"/>
  <c r="O103"/>
  <c r="K103"/>
  <c r="J103"/>
  <c r="H103"/>
  <c r="G103"/>
  <c r="F103"/>
  <c r="I103" s="1"/>
  <c r="E103"/>
  <c r="D103"/>
  <c r="C103"/>
  <c r="B103"/>
  <c r="A103"/>
  <c r="AI102"/>
  <c r="AH102"/>
  <c r="AG102"/>
  <c r="AF102"/>
  <c r="AB102"/>
  <c r="AA102"/>
  <c r="Z102"/>
  <c r="Y102"/>
  <c r="X102"/>
  <c r="V102"/>
  <c r="U102"/>
  <c r="W102" s="1"/>
  <c r="T102"/>
  <c r="S102"/>
  <c r="R102"/>
  <c r="Q102"/>
  <c r="P102"/>
  <c r="N102"/>
  <c r="J102"/>
  <c r="I102"/>
  <c r="H102"/>
  <c r="G102"/>
  <c r="F102"/>
  <c r="O102" s="1"/>
  <c r="E102"/>
  <c r="D102"/>
  <c r="C102"/>
  <c r="B102"/>
  <c r="A102"/>
  <c r="AI101"/>
  <c r="AH101"/>
  <c r="AG101"/>
  <c r="AF101"/>
  <c r="AA101"/>
  <c r="Z101"/>
  <c r="Y101"/>
  <c r="X101"/>
  <c r="T101"/>
  <c r="U101" s="1"/>
  <c r="S101"/>
  <c r="O101"/>
  <c r="M101"/>
  <c r="I101"/>
  <c r="H101"/>
  <c r="G101"/>
  <c r="F101"/>
  <c r="E101"/>
  <c r="D101"/>
  <c r="C101"/>
  <c r="B101"/>
  <c r="A101"/>
  <c r="AI100"/>
  <c r="AH100"/>
  <c r="AG100"/>
  <c r="AF100"/>
  <c r="AA100"/>
  <c r="Z100"/>
  <c r="Y100"/>
  <c r="X100"/>
  <c r="T100"/>
  <c r="S100"/>
  <c r="U100" s="1"/>
  <c r="H100"/>
  <c r="G100"/>
  <c r="F100"/>
  <c r="E100"/>
  <c r="D100"/>
  <c r="C100"/>
  <c r="B100"/>
  <c r="A100"/>
  <c r="AI99"/>
  <c r="AH99"/>
  <c r="AG99"/>
  <c r="AF99"/>
  <c r="AA99"/>
  <c r="Z99"/>
  <c r="Y99"/>
  <c r="X99"/>
  <c r="AB99" s="1"/>
  <c r="AC99" s="1"/>
  <c r="W99"/>
  <c r="T99"/>
  <c r="S99"/>
  <c r="U99" s="1"/>
  <c r="V99" s="1"/>
  <c r="R99"/>
  <c r="H99"/>
  <c r="P99" s="1"/>
  <c r="G99"/>
  <c r="F99"/>
  <c r="E99"/>
  <c r="D99"/>
  <c r="C99"/>
  <c r="B99"/>
  <c r="A99"/>
  <c r="AI98"/>
  <c r="AH98"/>
  <c r="AG98"/>
  <c r="AF98"/>
  <c r="AA98"/>
  <c r="Z98"/>
  <c r="Y98"/>
  <c r="X98"/>
  <c r="AB98" s="1"/>
  <c r="AE98" s="1"/>
  <c r="V98"/>
  <c r="T98"/>
  <c r="S98"/>
  <c r="U98" s="1"/>
  <c r="W98" s="1"/>
  <c r="R98"/>
  <c r="Q98"/>
  <c r="H98"/>
  <c r="P98" s="1"/>
  <c r="G98"/>
  <c r="F98"/>
  <c r="E98"/>
  <c r="D98"/>
  <c r="C98"/>
  <c r="B98"/>
  <c r="A98"/>
  <c r="AI97"/>
  <c r="AH97"/>
  <c r="AG97"/>
  <c r="AF97"/>
  <c r="AA97"/>
  <c r="Z97"/>
  <c r="Y97"/>
  <c r="X97"/>
  <c r="AB97" s="1"/>
  <c r="W97"/>
  <c r="U97"/>
  <c r="V97" s="1"/>
  <c r="T97"/>
  <c r="S97"/>
  <c r="R97"/>
  <c r="Q97"/>
  <c r="P97"/>
  <c r="L97"/>
  <c r="K97"/>
  <c r="I97"/>
  <c r="H97"/>
  <c r="G97"/>
  <c r="F97"/>
  <c r="O97" s="1"/>
  <c r="E97"/>
  <c r="D97"/>
  <c r="C97"/>
  <c r="B97"/>
  <c r="A97"/>
  <c r="AI96"/>
  <c r="AH96"/>
  <c r="AG96"/>
  <c r="AF96"/>
  <c r="AB96"/>
  <c r="AA96"/>
  <c r="Z96"/>
  <c r="Y96"/>
  <c r="X96"/>
  <c r="W96"/>
  <c r="V96"/>
  <c r="T96"/>
  <c r="U96" s="1"/>
  <c r="S96"/>
  <c r="O96"/>
  <c r="K96"/>
  <c r="I96"/>
  <c r="J96" s="1"/>
  <c r="H96"/>
  <c r="G96"/>
  <c r="F96"/>
  <c r="E96"/>
  <c r="D96"/>
  <c r="C96"/>
  <c r="B96"/>
  <c r="A96"/>
  <c r="AI95"/>
  <c r="AH95"/>
  <c r="AG95"/>
  <c r="AF95"/>
  <c r="AA95"/>
  <c r="Z95"/>
  <c r="AB95" s="1"/>
  <c r="AE95" s="1"/>
  <c r="Y95"/>
  <c r="X95"/>
  <c r="T95"/>
  <c r="S95"/>
  <c r="U95" s="1"/>
  <c r="O95"/>
  <c r="N95"/>
  <c r="I95"/>
  <c r="J95" s="1"/>
  <c r="H95"/>
  <c r="G95"/>
  <c r="F95"/>
  <c r="E95"/>
  <c r="D95"/>
  <c r="C95"/>
  <c r="B95"/>
  <c r="A95"/>
  <c r="AI94"/>
  <c r="AH94"/>
  <c r="AG94"/>
  <c r="AF94"/>
  <c r="AA94"/>
  <c r="Z94"/>
  <c r="Y94"/>
  <c r="X94"/>
  <c r="T94"/>
  <c r="U94" s="1"/>
  <c r="S94"/>
  <c r="R94"/>
  <c r="H94"/>
  <c r="G94"/>
  <c r="I94" s="1"/>
  <c r="F94"/>
  <c r="E94"/>
  <c r="D94"/>
  <c r="C94"/>
  <c r="B94"/>
  <c r="A94"/>
  <c r="AI93"/>
  <c r="AH93"/>
  <c r="AG93"/>
  <c r="AF93"/>
  <c r="AA93"/>
  <c r="Z93"/>
  <c r="Y93"/>
  <c r="X93"/>
  <c r="T93"/>
  <c r="S93"/>
  <c r="U93" s="1"/>
  <c r="H93"/>
  <c r="P93" s="1"/>
  <c r="G93"/>
  <c r="F93"/>
  <c r="O93" s="1"/>
  <c r="E93"/>
  <c r="D93"/>
  <c r="C93"/>
  <c r="B93"/>
  <c r="A93"/>
  <c r="AI92"/>
  <c r="AH92"/>
  <c r="AG92"/>
  <c r="AF92"/>
  <c r="AA92"/>
  <c r="Z92"/>
  <c r="Y92"/>
  <c r="X92"/>
  <c r="AB92" s="1"/>
  <c r="T92"/>
  <c r="S92"/>
  <c r="U92" s="1"/>
  <c r="V92" s="1"/>
  <c r="Q92"/>
  <c r="P92"/>
  <c r="H92"/>
  <c r="R92" s="1"/>
  <c r="G92"/>
  <c r="F92"/>
  <c r="E92"/>
  <c r="D92"/>
  <c r="C92"/>
  <c r="B92"/>
  <c r="A92"/>
  <c r="AI91"/>
  <c r="AH91"/>
  <c r="AG91"/>
  <c r="AF91"/>
  <c r="AE91"/>
  <c r="AD91"/>
  <c r="AC91"/>
  <c r="AB91"/>
  <c r="AA91"/>
  <c r="Z91"/>
  <c r="Y91"/>
  <c r="X91"/>
  <c r="W91"/>
  <c r="V91"/>
  <c r="T91"/>
  <c r="S91"/>
  <c r="U91" s="1"/>
  <c r="R91"/>
  <c r="Q91"/>
  <c r="P91"/>
  <c r="H91"/>
  <c r="G91"/>
  <c r="F91"/>
  <c r="E91"/>
  <c r="D91"/>
  <c r="C91"/>
  <c r="B91"/>
  <c r="A91"/>
  <c r="AI90"/>
  <c r="AH90"/>
  <c r="AG90"/>
  <c r="AF90"/>
  <c r="AA90"/>
  <c r="AB90" s="1"/>
  <c r="Z90"/>
  <c r="Y90"/>
  <c r="X90"/>
  <c r="W90"/>
  <c r="V90"/>
  <c r="U90"/>
  <c r="T90"/>
  <c r="S90"/>
  <c r="R90"/>
  <c r="Q90"/>
  <c r="P90"/>
  <c r="O90"/>
  <c r="I90"/>
  <c r="J90" s="1"/>
  <c r="H90"/>
  <c r="G90"/>
  <c r="F90"/>
  <c r="E90"/>
  <c r="D90"/>
  <c r="C90"/>
  <c r="B90"/>
  <c r="A90"/>
  <c r="AI89"/>
  <c r="AH89"/>
  <c r="AG89"/>
  <c r="AF89"/>
  <c r="AA89"/>
  <c r="Z89"/>
  <c r="AB89" s="1"/>
  <c r="Y89"/>
  <c r="X89"/>
  <c r="U89"/>
  <c r="W89" s="1"/>
  <c r="T89"/>
  <c r="S89"/>
  <c r="O89"/>
  <c r="N89"/>
  <c r="M89"/>
  <c r="J89"/>
  <c r="I89"/>
  <c r="H89"/>
  <c r="R89" s="1"/>
  <c r="G89"/>
  <c r="F89"/>
  <c r="E89"/>
  <c r="D89"/>
  <c r="C89"/>
  <c r="B89"/>
  <c r="A89"/>
  <c r="AI88"/>
  <c r="AH88"/>
  <c r="AG88"/>
  <c r="AF88"/>
  <c r="AA88"/>
  <c r="AB88" s="1"/>
  <c r="Z88"/>
  <c r="Y88"/>
  <c r="X88"/>
  <c r="U88"/>
  <c r="T88"/>
  <c r="S88"/>
  <c r="O88"/>
  <c r="M88"/>
  <c r="I88"/>
  <c r="L88" s="1"/>
  <c r="H88"/>
  <c r="G88"/>
  <c r="F88"/>
  <c r="E88"/>
  <c r="D88"/>
  <c r="C88"/>
  <c r="B88"/>
  <c r="A88"/>
  <c r="AI87"/>
  <c r="AH87"/>
  <c r="AG87"/>
  <c r="AF87"/>
  <c r="AA87"/>
  <c r="Z87"/>
  <c r="Y87"/>
  <c r="X87"/>
  <c r="T87"/>
  <c r="S87"/>
  <c r="R87"/>
  <c r="O87"/>
  <c r="H87"/>
  <c r="G87"/>
  <c r="F87"/>
  <c r="E87"/>
  <c r="D87"/>
  <c r="C87"/>
  <c r="B87"/>
  <c r="A87"/>
  <c r="AI86"/>
  <c r="AH86"/>
  <c r="AG86"/>
  <c r="AF86"/>
  <c r="AA86"/>
  <c r="Z86"/>
  <c r="Y86"/>
  <c r="X86"/>
  <c r="AB86" s="1"/>
  <c r="AC86" s="1"/>
  <c r="W86"/>
  <c r="V86"/>
  <c r="T86"/>
  <c r="S86"/>
  <c r="U86" s="1"/>
  <c r="R86"/>
  <c r="Q86"/>
  <c r="P86"/>
  <c r="H86"/>
  <c r="G86"/>
  <c r="F86"/>
  <c r="E86"/>
  <c r="D86"/>
  <c r="C86"/>
  <c r="B86"/>
  <c r="A86"/>
  <c r="AI85"/>
  <c r="AH85"/>
  <c r="AG85"/>
  <c r="AF85"/>
  <c r="AA85"/>
  <c r="Z85"/>
  <c r="Y85"/>
  <c r="X85"/>
  <c r="AB85" s="1"/>
  <c r="U85"/>
  <c r="V85" s="1"/>
  <c r="T85"/>
  <c r="S85"/>
  <c r="R85"/>
  <c r="Q85"/>
  <c r="P85"/>
  <c r="M85"/>
  <c r="L85"/>
  <c r="K85"/>
  <c r="J85"/>
  <c r="I85"/>
  <c r="N85" s="1"/>
  <c r="H85"/>
  <c r="G85"/>
  <c r="F85"/>
  <c r="O85" s="1"/>
  <c r="E85"/>
  <c r="D85"/>
  <c r="C85"/>
  <c r="B85"/>
  <c r="A85"/>
  <c r="AI84"/>
  <c r="AH84"/>
  <c r="AG84"/>
  <c r="AF84"/>
  <c r="AA84"/>
  <c r="Z84"/>
  <c r="Y84"/>
  <c r="X84"/>
  <c r="AB84" s="1"/>
  <c r="T84"/>
  <c r="U84" s="1"/>
  <c r="S84"/>
  <c r="Q84"/>
  <c r="O84"/>
  <c r="K84"/>
  <c r="I84"/>
  <c r="J84" s="1"/>
  <c r="H84"/>
  <c r="R84" s="1"/>
  <c r="G84"/>
  <c r="F84"/>
  <c r="E84"/>
  <c r="D84"/>
  <c r="C84"/>
  <c r="B84"/>
  <c r="A84"/>
  <c r="AI83"/>
  <c r="AH83"/>
  <c r="AG83"/>
  <c r="AF83"/>
  <c r="AA83"/>
  <c r="Z83"/>
  <c r="AB83" s="1"/>
  <c r="Y83"/>
  <c r="X83"/>
  <c r="T83"/>
  <c r="S83"/>
  <c r="U83" s="1"/>
  <c r="P83"/>
  <c r="O83"/>
  <c r="N83"/>
  <c r="K83"/>
  <c r="J83"/>
  <c r="I83"/>
  <c r="H83"/>
  <c r="G83"/>
  <c r="F83"/>
  <c r="E83"/>
  <c r="D83"/>
  <c r="C83"/>
  <c r="B83"/>
  <c r="A83"/>
  <c r="AI82"/>
  <c r="AH82"/>
  <c r="AG82"/>
  <c r="AF82"/>
  <c r="AA82"/>
  <c r="Z82"/>
  <c r="Y82"/>
  <c r="X82"/>
  <c r="T82"/>
  <c r="S82"/>
  <c r="U82" s="1"/>
  <c r="H82"/>
  <c r="G82"/>
  <c r="F82"/>
  <c r="I82" s="1"/>
  <c r="E82"/>
  <c r="D82"/>
  <c r="C82"/>
  <c r="B82"/>
  <c r="A82"/>
  <c r="AI81"/>
  <c r="AH81"/>
  <c r="AG81"/>
  <c r="AF81"/>
  <c r="AE81"/>
  <c r="AC81"/>
  <c r="AA81"/>
  <c r="Z81"/>
  <c r="Y81"/>
  <c r="X81"/>
  <c r="AB81" s="1"/>
  <c r="AD81" s="1"/>
  <c r="U81"/>
  <c r="T81"/>
  <c r="S81"/>
  <c r="R81"/>
  <c r="H81"/>
  <c r="P81" s="1"/>
  <c r="G81"/>
  <c r="F81"/>
  <c r="O81" s="1"/>
  <c r="E81"/>
  <c r="D81"/>
  <c r="C81"/>
  <c r="B81"/>
  <c r="A81"/>
  <c r="AI80"/>
  <c r="AH80"/>
  <c r="AG80"/>
  <c r="AF80"/>
  <c r="AA80"/>
  <c r="Z80"/>
  <c r="Y80"/>
  <c r="AB80" s="1"/>
  <c r="X80"/>
  <c r="W80"/>
  <c r="T80"/>
  <c r="S80"/>
  <c r="U80" s="1"/>
  <c r="V80" s="1"/>
  <c r="R80"/>
  <c r="Q80"/>
  <c r="P80"/>
  <c r="H80"/>
  <c r="G80"/>
  <c r="F80"/>
  <c r="E80"/>
  <c r="D80"/>
  <c r="C80"/>
  <c r="B80"/>
  <c r="A80"/>
  <c r="AI79"/>
  <c r="AH79"/>
  <c r="AG79"/>
  <c r="AF79"/>
  <c r="AB79"/>
  <c r="AC79" s="1"/>
  <c r="AA79"/>
  <c r="Z79"/>
  <c r="Y79"/>
  <c r="X79"/>
  <c r="W79"/>
  <c r="V79"/>
  <c r="T79"/>
  <c r="S79"/>
  <c r="U79" s="1"/>
  <c r="R79"/>
  <c r="Q79"/>
  <c r="P79"/>
  <c r="O79"/>
  <c r="K79"/>
  <c r="H79"/>
  <c r="G79"/>
  <c r="F79"/>
  <c r="I79" s="1"/>
  <c r="J79" s="1"/>
  <c r="E79"/>
  <c r="D79"/>
  <c r="C79"/>
  <c r="B79"/>
  <c r="A79"/>
  <c r="AI78"/>
  <c r="AH78"/>
  <c r="AG78"/>
  <c r="AF78"/>
  <c r="AB78"/>
  <c r="AE78" s="1"/>
  <c r="AA78"/>
  <c r="Z78"/>
  <c r="Y78"/>
  <c r="X78"/>
  <c r="V78"/>
  <c r="U78"/>
  <c r="W78" s="1"/>
  <c r="T78"/>
  <c r="S78"/>
  <c r="R78"/>
  <c r="Q78"/>
  <c r="P78"/>
  <c r="H78"/>
  <c r="G78"/>
  <c r="F78"/>
  <c r="I78" s="1"/>
  <c r="E78"/>
  <c r="D78"/>
  <c r="C78"/>
  <c r="B78"/>
  <c r="A78"/>
  <c r="AI77"/>
  <c r="AH77"/>
  <c r="AG77"/>
  <c r="AF77"/>
  <c r="AA77"/>
  <c r="AB77" s="1"/>
  <c r="Z77"/>
  <c r="Y77"/>
  <c r="X77"/>
  <c r="V77"/>
  <c r="U77"/>
  <c r="W77" s="1"/>
  <c r="T77"/>
  <c r="S77"/>
  <c r="Q77"/>
  <c r="O77"/>
  <c r="N77"/>
  <c r="M77"/>
  <c r="I77"/>
  <c r="J77" s="1"/>
  <c r="H77"/>
  <c r="R77" s="1"/>
  <c r="G77"/>
  <c r="F77"/>
  <c r="E77"/>
  <c r="D77"/>
  <c r="C77"/>
  <c r="B77"/>
  <c r="A77"/>
  <c r="AI76"/>
  <c r="AH76"/>
  <c r="AG76"/>
  <c r="AF76"/>
  <c r="AB76"/>
  <c r="AE76" s="1"/>
  <c r="AA76"/>
  <c r="Z76"/>
  <c r="Y76"/>
  <c r="X76"/>
  <c r="T76"/>
  <c r="S76"/>
  <c r="U76" s="1"/>
  <c r="P76"/>
  <c r="O76"/>
  <c r="N76"/>
  <c r="M76"/>
  <c r="L76"/>
  <c r="I76"/>
  <c r="H76"/>
  <c r="G76"/>
  <c r="F76"/>
  <c r="E76"/>
  <c r="D76"/>
  <c r="C76"/>
  <c r="B76"/>
  <c r="A76"/>
  <c r="AI75"/>
  <c r="AH75"/>
  <c r="AG75"/>
  <c r="AF75"/>
  <c r="AA75"/>
  <c r="Z75"/>
  <c r="Y75"/>
  <c r="X75"/>
  <c r="W75"/>
  <c r="T75"/>
  <c r="S75"/>
  <c r="U75" s="1"/>
  <c r="V75" s="1"/>
  <c r="R75"/>
  <c r="H75"/>
  <c r="G75"/>
  <c r="O75" s="1"/>
  <c r="F75"/>
  <c r="E75"/>
  <c r="D75"/>
  <c r="C75"/>
  <c r="B75"/>
  <c r="A75"/>
  <c r="AI74"/>
  <c r="AH74"/>
  <c r="AG74"/>
  <c r="AF74"/>
  <c r="AD74"/>
  <c r="AC74"/>
  <c r="AA74"/>
  <c r="Z74"/>
  <c r="Y74"/>
  <c r="X74"/>
  <c r="AB74" s="1"/>
  <c r="AE74" s="1"/>
  <c r="W74"/>
  <c r="V74"/>
  <c r="T74"/>
  <c r="S74"/>
  <c r="U74" s="1"/>
  <c r="R74"/>
  <c r="Q74"/>
  <c r="H74"/>
  <c r="P74" s="1"/>
  <c r="G74"/>
  <c r="F74"/>
  <c r="E74"/>
  <c r="D74"/>
  <c r="C74"/>
  <c r="B74"/>
  <c r="A74"/>
  <c r="AI73"/>
  <c r="AH73"/>
  <c r="AG73"/>
  <c r="AF73"/>
  <c r="AA73"/>
  <c r="Z73"/>
  <c r="Y73"/>
  <c r="AB73" s="1"/>
  <c r="X73"/>
  <c r="W73"/>
  <c r="U73"/>
  <c r="V73" s="1"/>
  <c r="T73"/>
  <c r="S73"/>
  <c r="R73"/>
  <c r="Q73"/>
  <c r="P73"/>
  <c r="I73"/>
  <c r="N73" s="1"/>
  <c r="H73"/>
  <c r="G73"/>
  <c r="F73"/>
  <c r="O73" s="1"/>
  <c r="E73"/>
  <c r="D73"/>
  <c r="C73"/>
  <c r="B73"/>
  <c r="A73"/>
  <c r="AI72"/>
  <c r="AH72"/>
  <c r="AG72"/>
  <c r="AF72"/>
  <c r="AB72"/>
  <c r="AC72" s="1"/>
  <c r="AA72"/>
  <c r="Z72"/>
  <c r="Y72"/>
  <c r="X72"/>
  <c r="T72"/>
  <c r="U72" s="1"/>
  <c r="S72"/>
  <c r="Q72"/>
  <c r="P72"/>
  <c r="O72"/>
  <c r="I72"/>
  <c r="J72" s="1"/>
  <c r="H72"/>
  <c r="R72" s="1"/>
  <c r="G72"/>
  <c r="F72"/>
  <c r="E72"/>
  <c r="D72"/>
  <c r="C72"/>
  <c r="B72"/>
  <c r="A72"/>
  <c r="AI71"/>
  <c r="AH71"/>
  <c r="AG71"/>
  <c r="AF71"/>
  <c r="AA71"/>
  <c r="Z71"/>
  <c r="AB71" s="1"/>
  <c r="Y71"/>
  <c r="X71"/>
  <c r="T71"/>
  <c r="S71"/>
  <c r="U71" s="1"/>
  <c r="H71"/>
  <c r="G71"/>
  <c r="I71" s="1"/>
  <c r="F71"/>
  <c r="E71"/>
  <c r="D71"/>
  <c r="C71"/>
  <c r="B71"/>
  <c r="A71"/>
  <c r="AI70"/>
  <c r="AH70"/>
  <c r="AG70"/>
  <c r="AF70"/>
  <c r="AA70"/>
  <c r="Z70"/>
  <c r="Y70"/>
  <c r="X70"/>
  <c r="V70"/>
  <c r="U70"/>
  <c r="W70" s="1"/>
  <c r="T70"/>
  <c r="S70"/>
  <c r="R70"/>
  <c r="H70"/>
  <c r="G70"/>
  <c r="F70"/>
  <c r="O70" s="1"/>
  <c r="E70"/>
  <c r="D70"/>
  <c r="C70"/>
  <c r="B70"/>
  <c r="A70"/>
  <c r="AI69"/>
  <c r="AH69"/>
  <c r="AG69"/>
  <c r="AF69"/>
  <c r="AC69"/>
  <c r="AA69"/>
  <c r="Z69"/>
  <c r="Y69"/>
  <c r="X69"/>
  <c r="AB69" s="1"/>
  <c r="AD69" s="1"/>
  <c r="T69"/>
  <c r="S69"/>
  <c r="U69" s="1"/>
  <c r="R69"/>
  <c r="H69"/>
  <c r="P69" s="1"/>
  <c r="G69"/>
  <c r="F69"/>
  <c r="O69" s="1"/>
  <c r="E69"/>
  <c r="D69"/>
  <c r="C69"/>
  <c r="B69"/>
  <c r="A69"/>
  <c r="AI68"/>
  <c r="AH68"/>
  <c r="AG68"/>
  <c r="AF68"/>
  <c r="AA68"/>
  <c r="Z68"/>
  <c r="Y68"/>
  <c r="X68"/>
  <c r="AB68" s="1"/>
  <c r="T68"/>
  <c r="S68"/>
  <c r="U68" s="1"/>
  <c r="V68" s="1"/>
  <c r="H68"/>
  <c r="P68" s="1"/>
  <c r="G68"/>
  <c r="F68"/>
  <c r="E68"/>
  <c r="D68"/>
  <c r="C68"/>
  <c r="B68"/>
  <c r="A68"/>
  <c r="AI67"/>
  <c r="AH67"/>
  <c r="AG67"/>
  <c r="AF67"/>
  <c r="AA67"/>
  <c r="AB67" s="1"/>
  <c r="Z67"/>
  <c r="Y67"/>
  <c r="X67"/>
  <c r="T67"/>
  <c r="S67"/>
  <c r="U67" s="1"/>
  <c r="V67" s="1"/>
  <c r="R67"/>
  <c r="Q67"/>
  <c r="P67"/>
  <c r="K67"/>
  <c r="H67"/>
  <c r="G67"/>
  <c r="F67"/>
  <c r="I67" s="1"/>
  <c r="J67" s="1"/>
  <c r="E67"/>
  <c r="D67"/>
  <c r="C67"/>
  <c r="B67"/>
  <c r="A67"/>
  <c r="AI66"/>
  <c r="AH66"/>
  <c r="AG66"/>
  <c r="AF66"/>
  <c r="AA66"/>
  <c r="Z66"/>
  <c r="AB66" s="1"/>
  <c r="Y66"/>
  <c r="X66"/>
  <c r="U66"/>
  <c r="V66" s="1"/>
  <c r="T66"/>
  <c r="S66"/>
  <c r="R66"/>
  <c r="Q66"/>
  <c r="P66"/>
  <c r="H66"/>
  <c r="G66"/>
  <c r="F66"/>
  <c r="O66" s="1"/>
  <c r="E66"/>
  <c r="D66"/>
  <c r="C66"/>
  <c r="B66"/>
  <c r="A66"/>
  <c r="AI65"/>
  <c r="AH65"/>
  <c r="AG65"/>
  <c r="AF65"/>
  <c r="AA65"/>
  <c r="AB65" s="1"/>
  <c r="Z65"/>
  <c r="Y65"/>
  <c r="X65"/>
  <c r="T65"/>
  <c r="U65" s="1"/>
  <c r="S65"/>
  <c r="Q65"/>
  <c r="P65"/>
  <c r="O65"/>
  <c r="N65"/>
  <c r="M65"/>
  <c r="J65"/>
  <c r="I65"/>
  <c r="H65"/>
  <c r="R65" s="1"/>
  <c r="G65"/>
  <c r="F65"/>
  <c r="E65"/>
  <c r="D65"/>
  <c r="C65"/>
  <c r="B65"/>
  <c r="A65"/>
  <c r="AI64"/>
  <c r="AH64"/>
  <c r="AG64"/>
  <c r="AF64"/>
  <c r="AA64"/>
  <c r="Z64"/>
  <c r="Y64"/>
  <c r="X64"/>
  <c r="AB64" s="1"/>
  <c r="T64"/>
  <c r="S64"/>
  <c r="U64" s="1"/>
  <c r="H64"/>
  <c r="G64"/>
  <c r="I64" s="1"/>
  <c r="F64"/>
  <c r="E64"/>
  <c r="D64"/>
  <c r="C64"/>
  <c r="B64"/>
  <c r="A64"/>
  <c r="AI63"/>
  <c r="AH63"/>
  <c r="AG63"/>
  <c r="AF63"/>
  <c r="AA63"/>
  <c r="Z63"/>
  <c r="Y63"/>
  <c r="X63"/>
  <c r="T63"/>
  <c r="S63"/>
  <c r="O63"/>
  <c r="M63"/>
  <c r="L63"/>
  <c r="K63"/>
  <c r="H63"/>
  <c r="G63"/>
  <c r="F63"/>
  <c r="I63" s="1"/>
  <c r="J63" s="1"/>
  <c r="E63"/>
  <c r="D63"/>
  <c r="C63"/>
  <c r="B63"/>
  <c r="A63"/>
  <c r="AI62"/>
  <c r="AH62"/>
  <c r="AG62"/>
  <c r="AF62"/>
  <c r="AA62"/>
  <c r="Z62"/>
  <c r="Y62"/>
  <c r="X62"/>
  <c r="T62"/>
  <c r="S62"/>
  <c r="U62" s="1"/>
  <c r="V62" s="1"/>
  <c r="R62"/>
  <c r="Q62"/>
  <c r="H62"/>
  <c r="P62" s="1"/>
  <c r="G62"/>
  <c r="F62"/>
  <c r="E62"/>
  <c r="D62"/>
  <c r="C62"/>
  <c r="B62"/>
  <c r="A62"/>
  <c r="AI61"/>
  <c r="AH61"/>
  <c r="AG61"/>
  <c r="AF61"/>
  <c r="AA61"/>
  <c r="Z61"/>
  <c r="Y61"/>
  <c r="X61"/>
  <c r="AB61" s="1"/>
  <c r="U61"/>
  <c r="V61" s="1"/>
  <c r="T61"/>
  <c r="S61"/>
  <c r="R61"/>
  <c r="Q61"/>
  <c r="P61"/>
  <c r="M61"/>
  <c r="L61"/>
  <c r="K61"/>
  <c r="I61"/>
  <c r="N61" s="1"/>
  <c r="H61"/>
  <c r="G61"/>
  <c r="F61"/>
  <c r="O61" s="1"/>
  <c r="E61"/>
  <c r="D61"/>
  <c r="C61"/>
  <c r="B61"/>
  <c r="A61"/>
  <c r="AI60"/>
  <c r="AH60"/>
  <c r="AG60"/>
  <c r="AF60"/>
  <c r="AB60"/>
  <c r="AC60" s="1"/>
  <c r="AA60"/>
  <c r="Z60"/>
  <c r="Y60"/>
  <c r="X60"/>
  <c r="T60"/>
  <c r="U60" s="1"/>
  <c r="S60"/>
  <c r="Q60"/>
  <c r="P60"/>
  <c r="O60"/>
  <c r="I60"/>
  <c r="J60" s="1"/>
  <c r="H60"/>
  <c r="R60" s="1"/>
  <c r="G60"/>
  <c r="F60"/>
  <c r="E60"/>
  <c r="D60"/>
  <c r="C60"/>
  <c r="B60"/>
  <c r="A60"/>
  <c r="AI59"/>
  <c r="AH59"/>
  <c r="AG59"/>
  <c r="AF59"/>
  <c r="AB59"/>
  <c r="AA59"/>
  <c r="Z59"/>
  <c r="Y59"/>
  <c r="X59"/>
  <c r="W59"/>
  <c r="V59"/>
  <c r="U59"/>
  <c r="T59"/>
  <c r="S59"/>
  <c r="P59"/>
  <c r="H59"/>
  <c r="G59"/>
  <c r="O59" s="1"/>
  <c r="F59"/>
  <c r="E59"/>
  <c r="D59"/>
  <c r="C59"/>
  <c r="B59"/>
  <c r="A59"/>
  <c r="AI58"/>
  <c r="AH58"/>
  <c r="AG58"/>
  <c r="AF58"/>
  <c r="AA58"/>
  <c r="Z58"/>
  <c r="Y58"/>
  <c r="X58"/>
  <c r="T58"/>
  <c r="S58"/>
  <c r="U58" s="1"/>
  <c r="R58"/>
  <c r="H58"/>
  <c r="G58"/>
  <c r="F58"/>
  <c r="I58" s="1"/>
  <c r="E58"/>
  <c r="D58"/>
  <c r="C58"/>
  <c r="B58"/>
  <c r="A58"/>
  <c r="AI57"/>
  <c r="AH57"/>
  <c r="AG57"/>
  <c r="AF57"/>
  <c r="AA57"/>
  <c r="Z57"/>
  <c r="Y57"/>
  <c r="X57"/>
  <c r="T57"/>
  <c r="S57"/>
  <c r="U57" s="1"/>
  <c r="H57"/>
  <c r="P57" s="1"/>
  <c r="G57"/>
  <c r="F57"/>
  <c r="O57" s="1"/>
  <c r="E57"/>
  <c r="D57"/>
  <c r="C57"/>
  <c r="B57"/>
  <c r="A57"/>
  <c r="AI56"/>
  <c r="AH56"/>
  <c r="AG56"/>
  <c r="AF56"/>
  <c r="AA56"/>
  <c r="Z56"/>
  <c r="Y56"/>
  <c r="X56"/>
  <c r="AB56" s="1"/>
  <c r="T56"/>
  <c r="S56"/>
  <c r="U56" s="1"/>
  <c r="V56" s="1"/>
  <c r="Q56"/>
  <c r="P56"/>
  <c r="H56"/>
  <c r="R56" s="1"/>
  <c r="G56"/>
  <c r="F56"/>
  <c r="E56"/>
  <c r="D56"/>
  <c r="C56"/>
  <c r="B56"/>
  <c r="A56"/>
  <c r="AI55"/>
  <c r="AH55"/>
  <c r="AG55"/>
  <c r="AF55"/>
  <c r="AA55"/>
  <c r="Z55"/>
  <c r="Y55"/>
  <c r="X55"/>
  <c r="AB55" s="1"/>
  <c r="W55"/>
  <c r="V55"/>
  <c r="T55"/>
  <c r="S55"/>
  <c r="U55" s="1"/>
  <c r="R55"/>
  <c r="Q55"/>
  <c r="P55"/>
  <c r="H55"/>
  <c r="G55"/>
  <c r="F55"/>
  <c r="I55" s="1"/>
  <c r="E55"/>
  <c r="D55"/>
  <c r="C55"/>
  <c r="B55"/>
  <c r="A55"/>
  <c r="AI54"/>
  <c r="AH54"/>
  <c r="AG54"/>
  <c r="AF54"/>
  <c r="AD54"/>
  <c r="AB54"/>
  <c r="AE54" s="1"/>
  <c r="AA54"/>
  <c r="Z54"/>
  <c r="Y54"/>
  <c r="X54"/>
  <c r="W54"/>
  <c r="V54"/>
  <c r="U54"/>
  <c r="T54"/>
  <c r="S54"/>
  <c r="R54"/>
  <c r="Q54"/>
  <c r="P54"/>
  <c r="H54"/>
  <c r="G54"/>
  <c r="F54"/>
  <c r="I54" s="1"/>
  <c r="E54"/>
  <c r="D54"/>
  <c r="C54"/>
  <c r="B54"/>
  <c r="A54"/>
  <c r="AI53"/>
  <c r="AH53"/>
  <c r="AG53"/>
  <c r="AF53"/>
  <c r="AA53"/>
  <c r="Z53"/>
  <c r="Y53"/>
  <c r="AB53" s="1"/>
  <c r="X53"/>
  <c r="T53"/>
  <c r="U53" s="1"/>
  <c r="S53"/>
  <c r="Q53"/>
  <c r="O53"/>
  <c r="I53"/>
  <c r="N53" s="1"/>
  <c r="H53"/>
  <c r="R53" s="1"/>
  <c r="G53"/>
  <c r="F53"/>
  <c r="E53"/>
  <c r="D53"/>
  <c r="C53"/>
  <c r="B53"/>
  <c r="A53"/>
  <c r="AI52"/>
  <c r="AH52"/>
  <c r="AG52"/>
  <c r="AF52"/>
  <c r="AB52"/>
  <c r="AE52" s="1"/>
  <c r="AA52"/>
  <c r="Z52"/>
  <c r="Y52"/>
  <c r="X52"/>
  <c r="U52"/>
  <c r="T52"/>
  <c r="S52"/>
  <c r="P52"/>
  <c r="H52"/>
  <c r="G52"/>
  <c r="O52" s="1"/>
  <c r="F52"/>
  <c r="E52"/>
  <c r="D52"/>
  <c r="C52"/>
  <c r="B52"/>
  <c r="A52"/>
  <c r="AI51"/>
  <c r="AH51"/>
  <c r="AG51"/>
  <c r="AF51"/>
  <c r="AA51"/>
  <c r="Z51"/>
  <c r="Y51"/>
  <c r="X51"/>
  <c r="T51"/>
  <c r="S51"/>
  <c r="U51" s="1"/>
  <c r="V51" s="1"/>
  <c r="R51"/>
  <c r="O51"/>
  <c r="H51"/>
  <c r="G51"/>
  <c r="F51"/>
  <c r="E51"/>
  <c r="D51"/>
  <c r="C51"/>
  <c r="B51"/>
  <c r="A51"/>
  <c r="AI50"/>
  <c r="AH50"/>
  <c r="AG50"/>
  <c r="AF50"/>
  <c r="AA50"/>
  <c r="Z50"/>
  <c r="Y50"/>
  <c r="X50"/>
  <c r="W50"/>
  <c r="T50"/>
  <c r="S50"/>
  <c r="U50" s="1"/>
  <c r="V50" s="1"/>
  <c r="R50"/>
  <c r="Q50"/>
  <c r="H50"/>
  <c r="P50" s="1"/>
  <c r="G50"/>
  <c r="F50"/>
  <c r="E50"/>
  <c r="D50"/>
  <c r="C50"/>
  <c r="B50"/>
  <c r="A50"/>
  <c r="AI49"/>
  <c r="AH49"/>
  <c r="AG49"/>
  <c r="AF49"/>
  <c r="AA49"/>
  <c r="Z49"/>
  <c r="Y49"/>
  <c r="X49"/>
  <c r="AB49" s="1"/>
  <c r="U49"/>
  <c r="V49" s="1"/>
  <c r="T49"/>
  <c r="S49"/>
  <c r="R49"/>
  <c r="Q49"/>
  <c r="P49"/>
  <c r="M49"/>
  <c r="L49"/>
  <c r="K49"/>
  <c r="J49"/>
  <c r="I49"/>
  <c r="N49" s="1"/>
  <c r="H49"/>
  <c r="G49"/>
  <c r="F49"/>
  <c r="O49" s="1"/>
  <c r="E49"/>
  <c r="D49"/>
  <c r="C49"/>
  <c r="B49"/>
  <c r="A49"/>
  <c r="AI48"/>
  <c r="AH48"/>
  <c r="AG48"/>
  <c r="AF48"/>
  <c r="AA48"/>
  <c r="Z48"/>
  <c r="Y48"/>
  <c r="X48"/>
  <c r="AB48" s="1"/>
  <c r="T48"/>
  <c r="U48" s="1"/>
  <c r="S48"/>
  <c r="Q48"/>
  <c r="O48"/>
  <c r="K48"/>
  <c r="I48"/>
  <c r="J48" s="1"/>
  <c r="H48"/>
  <c r="R48" s="1"/>
  <c r="G48"/>
  <c r="F48"/>
  <c r="E48"/>
  <c r="D48"/>
  <c r="C48"/>
  <c r="B48"/>
  <c r="A48"/>
  <c r="AI47"/>
  <c r="AH47"/>
  <c r="AG47"/>
  <c r="AF47"/>
  <c r="AA47"/>
  <c r="Z47"/>
  <c r="AB47" s="1"/>
  <c r="Y47"/>
  <c r="X47"/>
  <c r="T47"/>
  <c r="S47"/>
  <c r="U47" s="1"/>
  <c r="P47"/>
  <c r="O47"/>
  <c r="N47"/>
  <c r="K47"/>
  <c r="J47"/>
  <c r="I47"/>
  <c r="H47"/>
  <c r="G47"/>
  <c r="F47"/>
  <c r="E47"/>
  <c r="D47"/>
  <c r="C47"/>
  <c r="B47"/>
  <c r="A47"/>
  <c r="AI46"/>
  <c r="AH46"/>
  <c r="AG46"/>
  <c r="AF46"/>
  <c r="AA46"/>
  <c r="Z46"/>
  <c r="Y46"/>
  <c r="X46"/>
  <c r="T46"/>
  <c r="S46"/>
  <c r="U46" s="1"/>
  <c r="H46"/>
  <c r="G46"/>
  <c r="F46"/>
  <c r="I46" s="1"/>
  <c r="E46"/>
  <c r="D46"/>
  <c r="C46"/>
  <c r="B46"/>
  <c r="A46"/>
  <c r="AI45"/>
  <c r="AH45"/>
  <c r="AG45"/>
  <c r="AF45"/>
  <c r="AE45"/>
  <c r="AC45"/>
  <c r="AA45"/>
  <c r="Z45"/>
  <c r="Y45"/>
  <c r="X45"/>
  <c r="AB45" s="1"/>
  <c r="AD45" s="1"/>
  <c r="U45"/>
  <c r="T45"/>
  <c r="S45"/>
  <c r="R45"/>
  <c r="H45"/>
  <c r="P45" s="1"/>
  <c r="G45"/>
  <c r="F45"/>
  <c r="O45" s="1"/>
  <c r="E45"/>
  <c r="D45"/>
  <c r="C45"/>
  <c r="B45"/>
  <c r="A45"/>
  <c r="AI44"/>
  <c r="AH44"/>
  <c r="AG44"/>
  <c r="AF44"/>
  <c r="AA44"/>
  <c r="Z44"/>
  <c r="Y44"/>
  <c r="AB44" s="1"/>
  <c r="X44"/>
  <c r="W44"/>
  <c r="T44"/>
  <c r="S44"/>
  <c r="U44" s="1"/>
  <c r="V44" s="1"/>
  <c r="R44"/>
  <c r="Q44"/>
  <c r="P44"/>
  <c r="H44"/>
  <c r="G44"/>
  <c r="F44"/>
  <c r="E44"/>
  <c r="D44"/>
  <c r="C44"/>
  <c r="B44"/>
  <c r="A44"/>
  <c r="AI43"/>
  <c r="AH43"/>
  <c r="AG43"/>
  <c r="AF43"/>
  <c r="AB43"/>
  <c r="AC43" s="1"/>
  <c r="AA43"/>
  <c r="Z43"/>
  <c r="Y43"/>
  <c r="X43"/>
  <c r="W43"/>
  <c r="V43"/>
  <c r="T43"/>
  <c r="S43"/>
  <c r="U43" s="1"/>
  <c r="R43"/>
  <c r="Q43"/>
  <c r="P43"/>
  <c r="O43"/>
  <c r="K43"/>
  <c r="H43"/>
  <c r="G43"/>
  <c r="F43"/>
  <c r="I43" s="1"/>
  <c r="J43" s="1"/>
  <c r="E43"/>
  <c r="D43"/>
  <c r="C43"/>
  <c r="B43"/>
  <c r="A43"/>
  <c r="AI42"/>
  <c r="AH42"/>
  <c r="AG42"/>
  <c r="AF42"/>
  <c r="AB42"/>
  <c r="AE42" s="1"/>
  <c r="AA42"/>
  <c r="Z42"/>
  <c r="Y42"/>
  <c r="X42"/>
  <c r="V42"/>
  <c r="U42"/>
  <c r="W42" s="1"/>
  <c r="T42"/>
  <c r="S42"/>
  <c r="R42"/>
  <c r="Q42"/>
  <c r="P42"/>
  <c r="H42"/>
  <c r="G42"/>
  <c r="F42"/>
  <c r="I42" s="1"/>
  <c r="E42"/>
  <c r="D42"/>
  <c r="C42"/>
  <c r="B42"/>
  <c r="A42"/>
  <c r="AI41"/>
  <c r="AH41"/>
  <c r="AG41"/>
  <c r="AF41"/>
  <c r="AA41"/>
  <c r="AB41" s="1"/>
  <c r="Z41"/>
  <c r="Y41"/>
  <c r="X41"/>
  <c r="V41"/>
  <c r="U41"/>
  <c r="W41" s="1"/>
  <c r="T41"/>
  <c r="S41"/>
  <c r="Q41"/>
  <c r="O41"/>
  <c r="N41"/>
  <c r="M41"/>
  <c r="I41"/>
  <c r="J41" s="1"/>
  <c r="H41"/>
  <c r="R41" s="1"/>
  <c r="G41"/>
  <c r="F41"/>
  <c r="E41"/>
  <c r="D41"/>
  <c r="C41"/>
  <c r="B41"/>
  <c r="A41"/>
  <c r="AI40"/>
  <c r="AH40"/>
  <c r="AG40"/>
  <c r="AF40"/>
  <c r="AB40"/>
  <c r="AE40" s="1"/>
  <c r="AA40"/>
  <c r="Z40"/>
  <c r="Y40"/>
  <c r="X40"/>
  <c r="T40"/>
  <c r="S40"/>
  <c r="U40" s="1"/>
  <c r="P40"/>
  <c r="O40"/>
  <c r="N40"/>
  <c r="M40"/>
  <c r="L40"/>
  <c r="I40"/>
  <c r="H40"/>
  <c r="G40"/>
  <c r="F40"/>
  <c r="E40"/>
  <c r="D40"/>
  <c r="C40"/>
  <c r="B40"/>
  <c r="A40"/>
  <c r="AI39"/>
  <c r="AH39"/>
  <c r="AG39"/>
  <c r="AF39"/>
  <c r="AA39"/>
  <c r="Z39"/>
  <c r="Y39"/>
  <c r="X39"/>
  <c r="W39"/>
  <c r="T39"/>
  <c r="S39"/>
  <c r="U39" s="1"/>
  <c r="V39" s="1"/>
  <c r="R39"/>
  <c r="H39"/>
  <c r="G39"/>
  <c r="F39"/>
  <c r="E39"/>
  <c r="D39"/>
  <c r="C39"/>
  <c r="B39"/>
  <c r="A39"/>
  <c r="AI38"/>
  <c r="AH38"/>
  <c r="AG38"/>
  <c r="AF38"/>
  <c r="AA38"/>
  <c r="Z38"/>
  <c r="Y38"/>
  <c r="X38"/>
  <c r="W38"/>
  <c r="V38"/>
  <c r="T38"/>
  <c r="S38"/>
  <c r="U38" s="1"/>
  <c r="R38"/>
  <c r="Q38"/>
  <c r="H38"/>
  <c r="P38" s="1"/>
  <c r="G38"/>
  <c r="F38"/>
  <c r="E38"/>
  <c r="D38"/>
  <c r="C38"/>
  <c r="B38"/>
  <c r="A38"/>
  <c r="AI37"/>
  <c r="AH37"/>
  <c r="AG37"/>
  <c r="AF37"/>
  <c r="AA37"/>
  <c r="Z37"/>
  <c r="Y37"/>
  <c r="AB37" s="1"/>
  <c r="X37"/>
  <c r="W37"/>
  <c r="U37"/>
  <c r="V37" s="1"/>
  <c r="T37"/>
  <c r="S37"/>
  <c r="R37"/>
  <c r="Q37"/>
  <c r="P37"/>
  <c r="I37"/>
  <c r="N37" s="1"/>
  <c r="H37"/>
  <c r="G37"/>
  <c r="F37"/>
  <c r="O37" s="1"/>
  <c r="E37"/>
  <c r="D37"/>
  <c r="C37"/>
  <c r="B37"/>
  <c r="A37"/>
  <c r="AI36"/>
  <c r="AH36"/>
  <c r="AG36"/>
  <c r="AF36"/>
  <c r="AB36"/>
  <c r="AC36" s="1"/>
  <c r="AA36"/>
  <c r="Z36"/>
  <c r="Y36"/>
  <c r="X36"/>
  <c r="T36"/>
  <c r="U36" s="1"/>
  <c r="S36"/>
  <c r="Q36"/>
  <c r="P36"/>
  <c r="O36"/>
  <c r="I36"/>
  <c r="J36" s="1"/>
  <c r="H36"/>
  <c r="R36" s="1"/>
  <c r="G36"/>
  <c r="F36"/>
  <c r="E36"/>
  <c r="D36"/>
  <c r="C36"/>
  <c r="B36"/>
  <c r="A36"/>
  <c r="AI35"/>
  <c r="AH35"/>
  <c r="AG35"/>
  <c r="AF35"/>
  <c r="AA35"/>
  <c r="Z35"/>
  <c r="AB35" s="1"/>
  <c r="Y35"/>
  <c r="X35"/>
  <c r="T35"/>
  <c r="S35"/>
  <c r="U35" s="1"/>
  <c r="H35"/>
  <c r="G35"/>
  <c r="I35" s="1"/>
  <c r="F35"/>
  <c r="E35"/>
  <c r="D35"/>
  <c r="C35"/>
  <c r="B35"/>
  <c r="A35"/>
  <c r="AI34"/>
  <c r="AH34"/>
  <c r="AG34"/>
  <c r="AF34"/>
  <c r="AA34"/>
  <c r="Z34"/>
  <c r="Y34"/>
  <c r="X34"/>
  <c r="V34"/>
  <c r="U34"/>
  <c r="W34" s="1"/>
  <c r="T34"/>
  <c r="S34"/>
  <c r="R34"/>
  <c r="H34"/>
  <c r="G34"/>
  <c r="F34"/>
  <c r="O34" s="1"/>
  <c r="E34"/>
  <c r="D34"/>
  <c r="C34"/>
  <c r="B34"/>
  <c r="A34"/>
  <c r="AI33"/>
  <c r="AH33"/>
  <c r="AG33"/>
  <c r="AF33"/>
  <c r="AC33"/>
  <c r="AA33"/>
  <c r="Z33"/>
  <c r="Y33"/>
  <c r="X33"/>
  <c r="AB33" s="1"/>
  <c r="AD33" s="1"/>
  <c r="T33"/>
  <c r="S33"/>
  <c r="U33" s="1"/>
  <c r="R33"/>
  <c r="H33"/>
  <c r="P33" s="1"/>
  <c r="G33"/>
  <c r="F33"/>
  <c r="O33" s="1"/>
  <c r="E33"/>
  <c r="D33"/>
  <c r="C33"/>
  <c r="B33"/>
  <c r="A33"/>
  <c r="AI32"/>
  <c r="AH32"/>
  <c r="AG32"/>
  <c r="AF32"/>
  <c r="AA32"/>
  <c r="Z32"/>
  <c r="Y32"/>
  <c r="X32"/>
  <c r="AB32" s="1"/>
  <c r="T32"/>
  <c r="S32"/>
  <c r="U32" s="1"/>
  <c r="V32" s="1"/>
  <c r="H32"/>
  <c r="P32" s="1"/>
  <c r="G32"/>
  <c r="F32"/>
  <c r="E32"/>
  <c r="D32"/>
  <c r="C32"/>
  <c r="B32"/>
  <c r="A32"/>
  <c r="AI31"/>
  <c r="AH31"/>
  <c r="AG31"/>
  <c r="AF31"/>
  <c r="AE31"/>
  <c r="AD31"/>
  <c r="AB31"/>
  <c r="AC31" s="1"/>
  <c r="AA31"/>
  <c r="Z31"/>
  <c r="Y31"/>
  <c r="X31"/>
  <c r="T31"/>
  <c r="S31"/>
  <c r="U31" s="1"/>
  <c r="V31" s="1"/>
  <c r="R31"/>
  <c r="Q31"/>
  <c r="P31"/>
  <c r="K31"/>
  <c r="H31"/>
  <c r="G31"/>
  <c r="F31"/>
  <c r="I31" s="1"/>
  <c r="J31" s="1"/>
  <c r="E31"/>
  <c r="D31"/>
  <c r="C31"/>
  <c r="B31"/>
  <c r="A31"/>
  <c r="AI30"/>
  <c r="AH30"/>
  <c r="AG30"/>
  <c r="AF30"/>
  <c r="AA30"/>
  <c r="Z30"/>
  <c r="AB30" s="1"/>
  <c r="Y30"/>
  <c r="X30"/>
  <c r="V30"/>
  <c r="U30"/>
  <c r="W30" s="1"/>
  <c r="T30"/>
  <c r="S30"/>
  <c r="R30"/>
  <c r="Q30"/>
  <c r="P30"/>
  <c r="H30"/>
  <c r="G30"/>
  <c r="F30"/>
  <c r="O30" s="1"/>
  <c r="E30"/>
  <c r="D30"/>
  <c r="C30"/>
  <c r="B30"/>
  <c r="A30"/>
  <c r="AI29"/>
  <c r="AH29"/>
  <c r="AG29"/>
  <c r="AF29"/>
  <c r="AA29"/>
  <c r="AB29" s="1"/>
  <c r="Z29"/>
  <c r="Y29"/>
  <c r="X29"/>
  <c r="T29"/>
  <c r="S29"/>
  <c r="U29" s="1"/>
  <c r="Q29"/>
  <c r="O29"/>
  <c r="N29"/>
  <c r="M29"/>
  <c r="K29"/>
  <c r="J29"/>
  <c r="I29"/>
  <c r="L29" s="1"/>
  <c r="H29"/>
  <c r="R29" s="1"/>
  <c r="G29"/>
  <c r="F29"/>
  <c r="E29"/>
  <c r="D29"/>
  <c r="C29"/>
  <c r="B29"/>
  <c r="A29"/>
  <c r="AI28"/>
  <c r="AH28"/>
  <c r="AG28"/>
  <c r="AF28"/>
  <c r="AB28"/>
  <c r="AC28" s="1"/>
  <c r="AA28"/>
  <c r="Z28"/>
  <c r="Y28"/>
  <c r="X28"/>
  <c r="U28"/>
  <c r="W28" s="1"/>
  <c r="T28"/>
  <c r="S28"/>
  <c r="P28"/>
  <c r="H28"/>
  <c r="Q28" s="1"/>
  <c r="G28"/>
  <c r="I28" s="1"/>
  <c r="F28"/>
  <c r="O28" s="1"/>
  <c r="E28"/>
  <c r="D28"/>
  <c r="C28"/>
  <c r="B28"/>
  <c r="A28"/>
  <c r="AI27"/>
  <c r="AH27"/>
  <c r="AG27"/>
  <c r="AF27"/>
  <c r="AA27"/>
  <c r="Z27"/>
  <c r="Y27"/>
  <c r="X27"/>
  <c r="AB27" s="1"/>
  <c r="T27"/>
  <c r="S27"/>
  <c r="U27" s="1"/>
  <c r="R27"/>
  <c r="H27"/>
  <c r="P27" s="1"/>
  <c r="G27"/>
  <c r="F27"/>
  <c r="O27" s="1"/>
  <c r="E27"/>
  <c r="D27"/>
  <c r="C27"/>
  <c r="B27"/>
  <c r="A27"/>
  <c r="AI26"/>
  <c r="AH26"/>
  <c r="AG26"/>
  <c r="AF26"/>
  <c r="AA26"/>
  <c r="Z26"/>
  <c r="Y26"/>
  <c r="AB26" s="1"/>
  <c r="X26"/>
  <c r="W26"/>
  <c r="U26"/>
  <c r="V26" s="1"/>
  <c r="T26"/>
  <c r="S26"/>
  <c r="R26"/>
  <c r="Q26"/>
  <c r="P26"/>
  <c r="K26"/>
  <c r="I26"/>
  <c r="L26" s="1"/>
  <c r="H26"/>
  <c r="G26"/>
  <c r="F26"/>
  <c r="O26" s="1"/>
  <c r="E26"/>
  <c r="D26"/>
  <c r="C26"/>
  <c r="B26"/>
  <c r="A26"/>
  <c r="AI25"/>
  <c r="AH25"/>
  <c r="AG25"/>
  <c r="AF25"/>
  <c r="AB25"/>
  <c r="AC25" s="1"/>
  <c r="AA25"/>
  <c r="Z25"/>
  <c r="Y25"/>
  <c r="X25"/>
  <c r="T25"/>
  <c r="U25" s="1"/>
  <c r="S25"/>
  <c r="J25"/>
  <c r="I25"/>
  <c r="K25" s="1"/>
  <c r="H25"/>
  <c r="P25" s="1"/>
  <c r="G25"/>
  <c r="F25"/>
  <c r="O25" s="1"/>
  <c r="E25"/>
  <c r="D25"/>
  <c r="C25"/>
  <c r="B25"/>
  <c r="A25"/>
  <c r="AI24"/>
  <c r="AH24"/>
  <c r="AG24"/>
  <c r="AF24"/>
  <c r="AA24"/>
  <c r="AB24" s="1"/>
  <c r="Z24"/>
  <c r="Y24"/>
  <c r="X24"/>
  <c r="U24"/>
  <c r="V24" s="1"/>
  <c r="T24"/>
  <c r="S24"/>
  <c r="I24"/>
  <c r="J24" s="1"/>
  <c r="H24"/>
  <c r="P24" s="1"/>
  <c r="G24"/>
  <c r="O24" s="1"/>
  <c r="F24"/>
  <c r="E24"/>
  <c r="D24"/>
  <c r="C24"/>
  <c r="B24"/>
  <c r="A24"/>
  <c r="AI23"/>
  <c r="AH23"/>
  <c r="AG23"/>
  <c r="AF23"/>
  <c r="AA23"/>
  <c r="Z23"/>
  <c r="AB23" s="1"/>
  <c r="Y23"/>
  <c r="X23"/>
  <c r="T23"/>
  <c r="S23"/>
  <c r="U23" s="1"/>
  <c r="H23"/>
  <c r="P23" s="1"/>
  <c r="G23"/>
  <c r="F23"/>
  <c r="I23" s="1"/>
  <c r="E23"/>
  <c r="D23"/>
  <c r="C23"/>
  <c r="B23"/>
  <c r="A23"/>
  <c r="AI22"/>
  <c r="AH22"/>
  <c r="AG22"/>
  <c r="AF22"/>
  <c r="AA22"/>
  <c r="Z22"/>
  <c r="Y22"/>
  <c r="X22"/>
  <c r="AB22" s="1"/>
  <c r="T22"/>
  <c r="S22"/>
  <c r="U22" s="1"/>
  <c r="R22"/>
  <c r="Q22"/>
  <c r="P22"/>
  <c r="H22"/>
  <c r="G22"/>
  <c r="F22"/>
  <c r="I22" s="1"/>
  <c r="E22"/>
  <c r="D22"/>
  <c r="C22"/>
  <c r="B22"/>
  <c r="A22"/>
  <c r="AI21"/>
  <c r="AH21"/>
  <c r="AG21"/>
  <c r="AF21"/>
  <c r="AD21"/>
  <c r="AB21"/>
  <c r="AE21" s="1"/>
  <c r="AA21"/>
  <c r="Z21"/>
  <c r="Y21"/>
  <c r="X21"/>
  <c r="T21"/>
  <c r="U21" s="1"/>
  <c r="S21"/>
  <c r="R21"/>
  <c r="Q21"/>
  <c r="P21"/>
  <c r="H21"/>
  <c r="G21"/>
  <c r="F21"/>
  <c r="I21" s="1"/>
  <c r="E21"/>
  <c r="D21"/>
  <c r="C21"/>
  <c r="B21"/>
  <c r="A21"/>
  <c r="AI20"/>
  <c r="AH20"/>
  <c r="AG20"/>
  <c r="AF20"/>
  <c r="AA20"/>
  <c r="AB20" s="1"/>
  <c r="Z20"/>
  <c r="Y20"/>
  <c r="X20"/>
  <c r="T20"/>
  <c r="S20"/>
  <c r="U20" s="1"/>
  <c r="Q20"/>
  <c r="P20"/>
  <c r="O20"/>
  <c r="H20"/>
  <c r="R20" s="1"/>
  <c r="G20"/>
  <c r="I20" s="1"/>
  <c r="F20"/>
  <c r="E20"/>
  <c r="D20"/>
  <c r="C20"/>
  <c r="B20"/>
  <c r="A20"/>
  <c r="AI19"/>
  <c r="AH19"/>
  <c r="AG19"/>
  <c r="AF19"/>
  <c r="AB19"/>
  <c r="AC19" s="1"/>
  <c r="AA19"/>
  <c r="Z19"/>
  <c r="Y19"/>
  <c r="X19"/>
  <c r="W19"/>
  <c r="V19"/>
  <c r="U19"/>
  <c r="T19"/>
  <c r="S19"/>
  <c r="R19"/>
  <c r="P19"/>
  <c r="O19"/>
  <c r="H19"/>
  <c r="Q19" s="1"/>
  <c r="G19"/>
  <c r="F19"/>
  <c r="I19" s="1"/>
  <c r="E19"/>
  <c r="D19"/>
  <c r="C19"/>
  <c r="B19"/>
  <c r="A19"/>
  <c r="AI18"/>
  <c r="AH18"/>
  <c r="AG18"/>
  <c r="AF18"/>
  <c r="AA18"/>
  <c r="Z18"/>
  <c r="Y18"/>
  <c r="X18"/>
  <c r="AB18" s="1"/>
  <c r="U18"/>
  <c r="V18" s="1"/>
  <c r="T18"/>
  <c r="S18"/>
  <c r="Q18"/>
  <c r="O18"/>
  <c r="N18"/>
  <c r="M18"/>
  <c r="I18"/>
  <c r="J18" s="1"/>
  <c r="H18"/>
  <c r="P18" s="1"/>
  <c r="G18"/>
  <c r="F18"/>
  <c r="E18"/>
  <c r="D18"/>
  <c r="C18"/>
  <c r="B18"/>
  <c r="A18"/>
  <c r="AI17"/>
  <c r="AH17"/>
  <c r="AG17"/>
  <c r="AF17"/>
  <c r="AA17"/>
  <c r="Z17"/>
  <c r="Y17"/>
  <c r="X17"/>
  <c r="AB17" s="1"/>
  <c r="T17"/>
  <c r="U17" s="1"/>
  <c r="S17"/>
  <c r="N17"/>
  <c r="M17"/>
  <c r="L17"/>
  <c r="J17"/>
  <c r="I17"/>
  <c r="K17" s="1"/>
  <c r="H17"/>
  <c r="P17" s="1"/>
  <c r="G17"/>
  <c r="F17"/>
  <c r="O17" s="1"/>
  <c r="E17"/>
  <c r="D17"/>
  <c r="C17"/>
  <c r="B17"/>
  <c r="A17"/>
  <c r="AI16"/>
  <c r="AH16"/>
  <c r="AG16"/>
  <c r="AF16"/>
  <c r="AA16"/>
  <c r="Z16"/>
  <c r="Y16"/>
  <c r="X16"/>
  <c r="AB16" s="1"/>
  <c r="T16"/>
  <c r="S16"/>
  <c r="U16" s="1"/>
  <c r="H16"/>
  <c r="P16" s="1"/>
  <c r="G16"/>
  <c r="O16" s="1"/>
  <c r="F16"/>
  <c r="E16"/>
  <c r="D16"/>
  <c r="C16"/>
  <c r="B16"/>
  <c r="A16"/>
  <c r="AI15"/>
  <c r="AH15"/>
  <c r="AG15"/>
  <c r="AF15"/>
  <c r="AA15"/>
  <c r="Z15"/>
  <c r="Y15"/>
  <c r="X15"/>
  <c r="AB15" s="1"/>
  <c r="T15"/>
  <c r="S15"/>
  <c r="U15" s="1"/>
  <c r="R15"/>
  <c r="H15"/>
  <c r="P15" s="1"/>
  <c r="G15"/>
  <c r="F15"/>
  <c r="O15" s="1"/>
  <c r="E15"/>
  <c r="D15"/>
  <c r="C15"/>
  <c r="B15"/>
  <c r="A15"/>
  <c r="AI14"/>
  <c r="AH14"/>
  <c r="AG14"/>
  <c r="AF14"/>
  <c r="AA14"/>
  <c r="Z14"/>
  <c r="Y14"/>
  <c r="AB14" s="1"/>
  <c r="X14"/>
  <c r="W14"/>
  <c r="U14"/>
  <c r="V14" s="1"/>
  <c r="T14"/>
  <c r="S14"/>
  <c r="R14"/>
  <c r="Q14"/>
  <c r="P14"/>
  <c r="K14"/>
  <c r="I14"/>
  <c r="L14" s="1"/>
  <c r="H14"/>
  <c r="G14"/>
  <c r="F14"/>
  <c r="O14" s="1"/>
  <c r="E14"/>
  <c r="D14"/>
  <c r="C14"/>
  <c r="B14"/>
  <c r="A14"/>
  <c r="AI13"/>
  <c r="AH13"/>
  <c r="AG13"/>
  <c r="AF13"/>
  <c r="AB13"/>
  <c r="AC13" s="1"/>
  <c r="AA13"/>
  <c r="Z13"/>
  <c r="Y13"/>
  <c r="X13"/>
  <c r="T13"/>
  <c r="U13" s="1"/>
  <c r="S13"/>
  <c r="J13"/>
  <c r="I13"/>
  <c r="K13" s="1"/>
  <c r="H13"/>
  <c r="P13" s="1"/>
  <c r="G13"/>
  <c r="F13"/>
  <c r="O13" s="1"/>
  <c r="E13"/>
  <c r="D13"/>
  <c r="C13"/>
  <c r="B13"/>
  <c r="A13"/>
  <c r="AI12"/>
  <c r="AH12"/>
  <c r="AG12"/>
  <c r="AF12"/>
  <c r="AA12"/>
  <c r="AB12" s="1"/>
  <c r="Z12"/>
  <c r="Y12"/>
  <c r="X12"/>
  <c r="U12"/>
  <c r="V12" s="1"/>
  <c r="T12"/>
  <c r="S12"/>
  <c r="I12"/>
  <c r="J12" s="1"/>
  <c r="H12"/>
  <c r="P12" s="1"/>
  <c r="G12"/>
  <c r="O12" s="1"/>
  <c r="F12"/>
  <c r="E12"/>
  <c r="D12"/>
  <c r="C12"/>
  <c r="B12"/>
  <c r="A12"/>
  <c r="AI11"/>
  <c r="AH11"/>
  <c r="AG11"/>
  <c r="AF11"/>
  <c r="AA11"/>
  <c r="Z11"/>
  <c r="AB11" s="1"/>
  <c r="Y11"/>
  <c r="X11"/>
  <c r="T11"/>
  <c r="S11"/>
  <c r="U11" s="1"/>
  <c r="H11"/>
  <c r="P11" s="1"/>
  <c r="G11"/>
  <c r="F11"/>
  <c r="I11" s="1"/>
  <c r="E11"/>
  <c r="D11"/>
  <c r="C11"/>
  <c r="B11"/>
  <c r="A11"/>
  <c r="AI10"/>
  <c r="AH10"/>
  <c r="AG10"/>
  <c r="AF10"/>
  <c r="AA10"/>
  <c r="Z10"/>
  <c r="Y10"/>
  <c r="X10"/>
  <c r="AB10" s="1"/>
  <c r="T10"/>
  <c r="S10"/>
  <c r="U10" s="1"/>
  <c r="R10"/>
  <c r="Q10"/>
  <c r="P10"/>
  <c r="H10"/>
  <c r="G10"/>
  <c r="F10"/>
  <c r="I10" s="1"/>
  <c r="E10"/>
  <c r="D10"/>
  <c r="C10"/>
  <c r="B10"/>
  <c r="A10"/>
  <c r="AI9"/>
  <c r="AH9"/>
  <c r="AG9"/>
  <c r="AF9"/>
  <c r="AD9"/>
  <c r="AB9"/>
  <c r="AE9" s="1"/>
  <c r="AA9"/>
  <c r="Z9"/>
  <c r="Y9"/>
  <c r="X9"/>
  <c r="T9"/>
  <c r="U9" s="1"/>
  <c r="S9"/>
  <c r="R9"/>
  <c r="Q9"/>
  <c r="P9"/>
  <c r="H9"/>
  <c r="G9"/>
  <c r="F9"/>
  <c r="I9" s="1"/>
  <c r="E9"/>
  <c r="D9"/>
  <c r="C9"/>
  <c r="B9"/>
  <c r="A9"/>
  <c r="AI8"/>
  <c r="AH8"/>
  <c r="AG8"/>
  <c r="AF8"/>
  <c r="AA8"/>
  <c r="AB8" s="1"/>
  <c r="Z8"/>
  <c r="Y8"/>
  <c r="X8"/>
  <c r="T8"/>
  <c r="S8"/>
  <c r="U8" s="1"/>
  <c r="Q8"/>
  <c r="P8"/>
  <c r="O8"/>
  <c r="H8"/>
  <c r="R8" s="1"/>
  <c r="G8"/>
  <c r="I8" s="1"/>
  <c r="F8"/>
  <c r="E8"/>
  <c r="D8"/>
  <c r="C8"/>
  <c r="B8"/>
  <c r="A8"/>
  <c r="AI7"/>
  <c r="AH7"/>
  <c r="AG7"/>
  <c r="AF7"/>
  <c r="AB7"/>
  <c r="AC7" s="1"/>
  <c r="AA7"/>
  <c r="Z7"/>
  <c r="Y7"/>
  <c r="X7"/>
  <c r="W7"/>
  <c r="V7"/>
  <c r="U7"/>
  <c r="T7"/>
  <c r="S7"/>
  <c r="R7"/>
  <c r="P7"/>
  <c r="O7"/>
  <c r="H7"/>
  <c r="Q7" s="1"/>
  <c r="G7"/>
  <c r="F7"/>
  <c r="I7" s="1"/>
  <c r="E7"/>
  <c r="D7"/>
  <c r="C7"/>
  <c r="B7"/>
  <c r="A7"/>
  <c r="AI6"/>
  <c r="AH6"/>
  <c r="AG6"/>
  <c r="AF6"/>
  <c r="AA6"/>
  <c r="Z6"/>
  <c r="Y6"/>
  <c r="X6"/>
  <c r="AB6" s="1"/>
  <c r="U6"/>
  <c r="V6" s="1"/>
  <c r="T6"/>
  <c r="S6"/>
  <c r="Q6"/>
  <c r="O6"/>
  <c r="N6"/>
  <c r="M6"/>
  <c r="I6"/>
  <c r="J6" s="1"/>
  <c r="H6"/>
  <c r="P6" s="1"/>
  <c r="G6"/>
  <c r="F6"/>
  <c r="E6"/>
  <c r="D6"/>
  <c r="C6"/>
  <c r="B6"/>
  <c r="A6"/>
  <c r="AI5"/>
  <c r="AH5"/>
  <c r="AG5"/>
  <c r="AF5"/>
  <c r="AA5"/>
  <c r="Z5"/>
  <c r="Y5"/>
  <c r="X5"/>
  <c r="AB5" s="1"/>
  <c r="T5"/>
  <c r="U5" s="1"/>
  <c r="S5"/>
  <c r="N5"/>
  <c r="M5"/>
  <c r="L5"/>
  <c r="J5"/>
  <c r="I5"/>
  <c r="K5" s="1"/>
  <c r="H5"/>
  <c r="P5" s="1"/>
  <c r="G5"/>
  <c r="F5"/>
  <c r="O5" s="1"/>
  <c r="E5"/>
  <c r="D5"/>
  <c r="C5"/>
  <c r="B5"/>
  <c r="A5"/>
  <c r="AI4"/>
  <c r="AH4"/>
  <c r="AG4"/>
  <c r="AF4"/>
  <c r="AA4"/>
  <c r="Z4"/>
  <c r="Y4"/>
  <c r="X4"/>
  <c r="AB4" s="1"/>
  <c r="T4"/>
  <c r="S4"/>
  <c r="U4" s="1"/>
  <c r="H4"/>
  <c r="P4" s="1"/>
  <c r="G4"/>
  <c r="O4" s="1"/>
  <c r="F4"/>
  <c r="E4"/>
  <c r="D4"/>
  <c r="C4"/>
  <c r="B4"/>
  <c r="A4"/>
  <c r="AI3"/>
  <c r="AH3"/>
  <c r="AG3"/>
  <c r="AF3"/>
  <c r="AA3"/>
  <c r="Z3"/>
  <c r="Y3"/>
  <c r="X3"/>
  <c r="AB3" s="1"/>
  <c r="T3"/>
  <c r="S3"/>
  <c r="U3" s="1"/>
  <c r="R3"/>
  <c r="H3"/>
  <c r="P3" s="1"/>
  <c r="G3"/>
  <c r="F3"/>
  <c r="O3" s="1"/>
  <c r="E3"/>
  <c r="D3"/>
  <c r="C3"/>
  <c r="B3"/>
  <c r="A3"/>
  <c r="AI2"/>
  <c r="AH2"/>
  <c r="AG2"/>
  <c r="AF2"/>
  <c r="AA2"/>
  <c r="Z2"/>
  <c r="Y2"/>
  <c r="AB2" s="1"/>
  <c r="X2"/>
  <c r="W2"/>
  <c r="U2"/>
  <c r="V2" s="1"/>
  <c r="T2"/>
  <c r="S2"/>
  <c r="R2"/>
  <c r="Q2"/>
  <c r="P2"/>
  <c r="K2"/>
  <c r="I2"/>
  <c r="L2" s="1"/>
  <c r="H2"/>
  <c r="G2"/>
  <c r="F2"/>
  <c r="O2" s="1"/>
  <c r="E2"/>
  <c r="D2"/>
  <c r="C2"/>
  <c r="B2"/>
  <c r="A2"/>
  <c r="B12" i="1"/>
  <c r="B11"/>
  <c r="B9"/>
  <c r="B10" s="1"/>
  <c r="B8"/>
  <c r="AD41" i="3" l="1"/>
  <c r="AE41"/>
  <c r="AC41"/>
  <c r="W82"/>
  <c r="V82"/>
  <c r="AD3"/>
  <c r="AC3"/>
  <c r="AE3"/>
  <c r="J11"/>
  <c r="K11"/>
  <c r="L11"/>
  <c r="M11"/>
  <c r="N11"/>
  <c r="AD27"/>
  <c r="AC27"/>
  <c r="AE27"/>
  <c r="V36"/>
  <c r="W36"/>
  <c r="W46"/>
  <c r="V46"/>
  <c r="V47"/>
  <c r="W47"/>
  <c r="AD48"/>
  <c r="AE48"/>
  <c r="AC48"/>
  <c r="AE61"/>
  <c r="AC61"/>
  <c r="AD61"/>
  <c r="AC64"/>
  <c r="AD64"/>
  <c r="AE64"/>
  <c r="W65"/>
  <c r="V65"/>
  <c r="AC67"/>
  <c r="AD67"/>
  <c r="AE67"/>
  <c r="V71"/>
  <c r="W71"/>
  <c r="AC80"/>
  <c r="AD80"/>
  <c r="AE80"/>
  <c r="V84"/>
  <c r="W84"/>
  <c r="AC88"/>
  <c r="AD88"/>
  <c r="AE88"/>
  <c r="V119"/>
  <c r="W119"/>
  <c r="V9"/>
  <c r="W9"/>
  <c r="AC10"/>
  <c r="AE10"/>
  <c r="AD10"/>
  <c r="AC17"/>
  <c r="AD17"/>
  <c r="AE17"/>
  <c r="AC18"/>
  <c r="AD18"/>
  <c r="AE18"/>
  <c r="AE30"/>
  <c r="AC30"/>
  <c r="AD30"/>
  <c r="L35"/>
  <c r="M35"/>
  <c r="J35"/>
  <c r="K35"/>
  <c r="N35"/>
  <c r="L42"/>
  <c r="M42"/>
  <c r="J42"/>
  <c r="K42"/>
  <c r="N42"/>
  <c r="AC44"/>
  <c r="AD44"/>
  <c r="AE44"/>
  <c r="V48"/>
  <c r="W48"/>
  <c r="AC56"/>
  <c r="AD56"/>
  <c r="AE56"/>
  <c r="V72"/>
  <c r="W72"/>
  <c r="AD89"/>
  <c r="AE89"/>
  <c r="AC89"/>
  <c r="AC161"/>
  <c r="AD161"/>
  <c r="AE161"/>
  <c r="V64"/>
  <c r="W64"/>
  <c r="L71"/>
  <c r="M71"/>
  <c r="J71"/>
  <c r="K71"/>
  <c r="N71"/>
  <c r="K82"/>
  <c r="L82"/>
  <c r="J82"/>
  <c r="M82"/>
  <c r="N82"/>
  <c r="AC92"/>
  <c r="AD92"/>
  <c r="AE92"/>
  <c r="W94"/>
  <c r="V94"/>
  <c r="AD97"/>
  <c r="AE97"/>
  <c r="AC97"/>
  <c r="W159"/>
  <c r="V159"/>
  <c r="AD20"/>
  <c r="AE20"/>
  <c r="AC20"/>
  <c r="L119"/>
  <c r="M119"/>
  <c r="J119"/>
  <c r="K119"/>
  <c r="N119"/>
  <c r="W13"/>
  <c r="V13"/>
  <c r="W29"/>
  <c r="V29"/>
  <c r="W60"/>
  <c r="V60"/>
  <c r="J64"/>
  <c r="K64"/>
  <c r="L64"/>
  <c r="M64"/>
  <c r="N64"/>
  <c r="V69"/>
  <c r="W69"/>
  <c r="AC132"/>
  <c r="AD132"/>
  <c r="AE132"/>
  <c r="AC16"/>
  <c r="AD16"/>
  <c r="AE16"/>
  <c r="V16"/>
  <c r="W16"/>
  <c r="AD11"/>
  <c r="AC11"/>
  <c r="AE11"/>
  <c r="W20"/>
  <c r="V20"/>
  <c r="V76"/>
  <c r="W76"/>
  <c r="AD166"/>
  <c r="AC166"/>
  <c r="AE166"/>
  <c r="AD29"/>
  <c r="AE29"/>
  <c r="AC29"/>
  <c r="AD84"/>
  <c r="AE84"/>
  <c r="AC84"/>
  <c r="V137"/>
  <c r="W137"/>
  <c r="J19"/>
  <c r="N19"/>
  <c r="K19"/>
  <c r="L19"/>
  <c r="M19"/>
  <c r="L78"/>
  <c r="M78"/>
  <c r="J78"/>
  <c r="K78"/>
  <c r="N78"/>
  <c r="V3"/>
  <c r="W3"/>
  <c r="J21"/>
  <c r="K21"/>
  <c r="L21"/>
  <c r="M21"/>
  <c r="N21"/>
  <c r="V27"/>
  <c r="W27"/>
  <c r="W58"/>
  <c r="V58"/>
  <c r="V10"/>
  <c r="W10"/>
  <c r="V23"/>
  <c r="W23"/>
  <c r="V33"/>
  <c r="W33"/>
  <c r="K46"/>
  <c r="L46"/>
  <c r="J46"/>
  <c r="M46"/>
  <c r="N46"/>
  <c r="AC2"/>
  <c r="AD2"/>
  <c r="AE2"/>
  <c r="AE4"/>
  <c r="AC4"/>
  <c r="AD4"/>
  <c r="N7"/>
  <c r="J7"/>
  <c r="K7"/>
  <c r="L7"/>
  <c r="M7"/>
  <c r="AD8"/>
  <c r="AE8"/>
  <c r="AC8"/>
  <c r="AC15"/>
  <c r="AD15"/>
  <c r="AE15"/>
  <c r="J23"/>
  <c r="K23"/>
  <c r="L23"/>
  <c r="N23"/>
  <c r="M23"/>
  <c r="AC26"/>
  <c r="AD26"/>
  <c r="AE26"/>
  <c r="V40"/>
  <c r="W40"/>
  <c r="K58"/>
  <c r="L58"/>
  <c r="J58"/>
  <c r="M58"/>
  <c r="N58"/>
  <c r="K94"/>
  <c r="L94"/>
  <c r="J94"/>
  <c r="M94"/>
  <c r="N94"/>
  <c r="V95"/>
  <c r="W95"/>
  <c r="V8"/>
  <c r="W8"/>
  <c r="V35"/>
  <c r="W35"/>
  <c r="V83"/>
  <c r="W83"/>
  <c r="V17"/>
  <c r="W17"/>
  <c r="AE24"/>
  <c r="AC24"/>
  <c r="AD24"/>
  <c r="J22"/>
  <c r="K22"/>
  <c r="M22"/>
  <c r="L22"/>
  <c r="N22"/>
  <c r="K8"/>
  <c r="J8"/>
  <c r="L8"/>
  <c r="M8"/>
  <c r="N8"/>
  <c r="AC5"/>
  <c r="AD5"/>
  <c r="AE5"/>
  <c r="AC6"/>
  <c r="AD6"/>
  <c r="AE6"/>
  <c r="V21"/>
  <c r="W21"/>
  <c r="AC22"/>
  <c r="AE22"/>
  <c r="AD22"/>
  <c r="AC35"/>
  <c r="AD35"/>
  <c r="AE35"/>
  <c r="AC83"/>
  <c r="AD83"/>
  <c r="AE83"/>
  <c r="V101"/>
  <c r="W101"/>
  <c r="AC120"/>
  <c r="AD120"/>
  <c r="AE120"/>
  <c r="AD65"/>
  <c r="AE65"/>
  <c r="AC65"/>
  <c r="AC71"/>
  <c r="AD71"/>
  <c r="AE71"/>
  <c r="AE85"/>
  <c r="AC85"/>
  <c r="AD85"/>
  <c r="V22"/>
  <c r="W22"/>
  <c r="AE37"/>
  <c r="AC37"/>
  <c r="AD37"/>
  <c r="AE49"/>
  <c r="AC49"/>
  <c r="AD49"/>
  <c r="AD53"/>
  <c r="AE53"/>
  <c r="AC53"/>
  <c r="L54"/>
  <c r="M54"/>
  <c r="J54"/>
  <c r="K54"/>
  <c r="N54"/>
  <c r="AD55"/>
  <c r="AC55"/>
  <c r="AE55"/>
  <c r="V57"/>
  <c r="W57"/>
  <c r="AC68"/>
  <c r="AD68"/>
  <c r="AE68"/>
  <c r="AC116"/>
  <c r="AE116"/>
  <c r="AD116"/>
  <c r="AC128"/>
  <c r="AE128"/>
  <c r="AD128"/>
  <c r="AD23"/>
  <c r="AC23"/>
  <c r="AE23"/>
  <c r="W53"/>
  <c r="V53"/>
  <c r="AE66"/>
  <c r="AC66"/>
  <c r="AD66"/>
  <c r="AC14"/>
  <c r="AD14"/>
  <c r="AE14"/>
  <c r="W4"/>
  <c r="V4"/>
  <c r="V5"/>
  <c r="W5"/>
  <c r="J9"/>
  <c r="K9"/>
  <c r="L9"/>
  <c r="M9"/>
  <c r="N9"/>
  <c r="AE12"/>
  <c r="AC12"/>
  <c r="AD12"/>
  <c r="V15"/>
  <c r="W15"/>
  <c r="AC32"/>
  <c r="AD32"/>
  <c r="AE32"/>
  <c r="AC47"/>
  <c r="AD47"/>
  <c r="AE47"/>
  <c r="J10"/>
  <c r="K10"/>
  <c r="L10"/>
  <c r="M10"/>
  <c r="N10"/>
  <c r="V11"/>
  <c r="W11"/>
  <c r="K20"/>
  <c r="J20"/>
  <c r="L20"/>
  <c r="M20"/>
  <c r="N20"/>
  <c r="W25"/>
  <c r="V25"/>
  <c r="K28"/>
  <c r="L28"/>
  <c r="N28"/>
  <c r="J28"/>
  <c r="M28"/>
  <c r="AE73"/>
  <c r="AC73"/>
  <c r="AD73"/>
  <c r="AD77"/>
  <c r="AE77"/>
  <c r="AC77"/>
  <c r="AE90"/>
  <c r="AD90"/>
  <c r="AC90"/>
  <c r="V93"/>
  <c r="W93"/>
  <c r="V113"/>
  <c r="W113"/>
  <c r="V125"/>
  <c r="W125"/>
  <c r="AC172"/>
  <c r="AE172"/>
  <c r="AD172"/>
  <c r="P46"/>
  <c r="Q46"/>
  <c r="AC59"/>
  <c r="AD59"/>
  <c r="Q64"/>
  <c r="R64"/>
  <c r="Q71"/>
  <c r="R71"/>
  <c r="P82"/>
  <c r="Q82"/>
  <c r="AC96"/>
  <c r="AD96"/>
  <c r="AE96"/>
  <c r="AC106"/>
  <c r="AE106"/>
  <c r="Q124"/>
  <c r="R124"/>
  <c r="P124"/>
  <c r="AD127"/>
  <c r="AE127"/>
  <c r="P130"/>
  <c r="Q130"/>
  <c r="R130"/>
  <c r="V135"/>
  <c r="W135"/>
  <c r="K138"/>
  <c r="L138"/>
  <c r="M138"/>
  <c r="N138"/>
  <c r="AE148"/>
  <c r="AC148"/>
  <c r="AD148"/>
  <c r="I150"/>
  <c r="O150"/>
  <c r="AD159"/>
  <c r="AC159"/>
  <c r="AE159"/>
  <c r="V165"/>
  <c r="W165"/>
  <c r="I173"/>
  <c r="O173"/>
  <c r="AE179"/>
  <c r="AD179"/>
  <c r="AC179"/>
  <c r="I186"/>
  <c r="O186"/>
  <c r="W190"/>
  <c r="V190"/>
  <c r="W207"/>
  <c r="V207"/>
  <c r="K214"/>
  <c r="M214"/>
  <c r="J214"/>
  <c r="L214"/>
  <c r="N214"/>
  <c r="W219"/>
  <c r="V219"/>
  <c r="AD221"/>
  <c r="AE221"/>
  <c r="AC221"/>
  <c r="J223"/>
  <c r="L223"/>
  <c r="M223"/>
  <c r="N223"/>
  <c r="K223"/>
  <c r="AC306"/>
  <c r="AD306"/>
  <c r="AE306"/>
  <c r="V147"/>
  <c r="V105"/>
  <c r="W105"/>
  <c r="I124"/>
  <c r="O124"/>
  <c r="I128"/>
  <c r="O128"/>
  <c r="L139"/>
  <c r="M139"/>
  <c r="N139"/>
  <c r="AC140"/>
  <c r="AD140"/>
  <c r="AE140"/>
  <c r="Q153"/>
  <c r="P153"/>
  <c r="R153"/>
  <c r="V158"/>
  <c r="W158"/>
  <c r="L160"/>
  <c r="J160"/>
  <c r="N160"/>
  <c r="I167"/>
  <c r="O167"/>
  <c r="M168"/>
  <c r="K168"/>
  <c r="L168"/>
  <c r="N168"/>
  <c r="AD173"/>
  <c r="AE173"/>
  <c r="AC173"/>
  <c r="AD178"/>
  <c r="AC178"/>
  <c r="AE178"/>
  <c r="Q194"/>
  <c r="P194"/>
  <c r="R194"/>
  <c r="L196"/>
  <c r="K196"/>
  <c r="M196"/>
  <c r="N196"/>
  <c r="J196"/>
  <c r="AC208"/>
  <c r="AE208"/>
  <c r="AD208"/>
  <c r="AE216"/>
  <c r="AC216"/>
  <c r="AD216"/>
  <c r="AC233"/>
  <c r="AD233"/>
  <c r="AE233"/>
  <c r="J2"/>
  <c r="AC9"/>
  <c r="J14"/>
  <c r="AC21"/>
  <c r="J26"/>
  <c r="I39"/>
  <c r="AB39"/>
  <c r="L43"/>
  <c r="AB46"/>
  <c r="AB50"/>
  <c r="AC54"/>
  <c r="I75"/>
  <c r="AB75"/>
  <c r="L79"/>
  <c r="AB82"/>
  <c r="V89"/>
  <c r="I91"/>
  <c r="V108"/>
  <c r="U112"/>
  <c r="W106"/>
  <c r="V106"/>
  <c r="V107"/>
  <c r="W107"/>
  <c r="AD121"/>
  <c r="AE121"/>
  <c r="AE126"/>
  <c r="AC126"/>
  <c r="AD126"/>
  <c r="AC136"/>
  <c r="AD136"/>
  <c r="W171"/>
  <c r="V171"/>
  <c r="AE174"/>
  <c r="AC174"/>
  <c r="AD174"/>
  <c r="AC182"/>
  <c r="AD182"/>
  <c r="AE182"/>
  <c r="I184"/>
  <c r="O184"/>
  <c r="AC184"/>
  <c r="AE184"/>
  <c r="AD184"/>
  <c r="J189"/>
  <c r="L189"/>
  <c r="K189"/>
  <c r="M189"/>
  <c r="AE192"/>
  <c r="AC192"/>
  <c r="AD192"/>
  <c r="V226"/>
  <c r="W226"/>
  <c r="V275"/>
  <c r="W275"/>
  <c r="R23"/>
  <c r="AB57"/>
  <c r="AB100"/>
  <c r="AD36"/>
  <c r="AE36"/>
  <c r="M48"/>
  <c r="N48"/>
  <c r="AC52"/>
  <c r="AD52"/>
  <c r="M55"/>
  <c r="N55"/>
  <c r="AD72"/>
  <c r="AE72"/>
  <c r="M84"/>
  <c r="N84"/>
  <c r="J88"/>
  <c r="K88"/>
  <c r="M96"/>
  <c r="N96"/>
  <c r="I123"/>
  <c r="O123"/>
  <c r="J125"/>
  <c r="K125"/>
  <c r="L125"/>
  <c r="N125"/>
  <c r="AD133"/>
  <c r="AE133"/>
  <c r="AD142"/>
  <c r="AC142"/>
  <c r="AE142"/>
  <c r="I153"/>
  <c r="O153"/>
  <c r="M161"/>
  <c r="L161"/>
  <c r="N161"/>
  <c r="J161"/>
  <c r="K161"/>
  <c r="AC162"/>
  <c r="AD162"/>
  <c r="O170"/>
  <c r="I170"/>
  <c r="I32"/>
  <c r="O32"/>
  <c r="O50"/>
  <c r="I50"/>
  <c r="P63"/>
  <c r="Q63"/>
  <c r="I68"/>
  <c r="O68"/>
  <c r="O86"/>
  <c r="I86"/>
  <c r="Q88"/>
  <c r="R88"/>
  <c r="Q96"/>
  <c r="R96"/>
  <c r="J117"/>
  <c r="K117"/>
  <c r="N117"/>
  <c r="P118"/>
  <c r="Q118"/>
  <c r="N121"/>
  <c r="J121"/>
  <c r="L121"/>
  <c r="M121"/>
  <c r="O122"/>
  <c r="I122"/>
  <c r="R125"/>
  <c r="P125"/>
  <c r="Q125"/>
  <c r="L131"/>
  <c r="M131"/>
  <c r="J131"/>
  <c r="K131"/>
  <c r="O134"/>
  <c r="I134"/>
  <c r="AD137"/>
  <c r="AE137"/>
  <c r="AC137"/>
  <c r="AE160"/>
  <c r="AC160"/>
  <c r="AD160"/>
  <c r="K164"/>
  <c r="J164"/>
  <c r="L164"/>
  <c r="W178"/>
  <c r="V178"/>
  <c r="R190"/>
  <c r="Q190"/>
  <c r="P190"/>
  <c r="V191"/>
  <c r="W191"/>
  <c r="W195"/>
  <c r="V195"/>
  <c r="AD197"/>
  <c r="AC197"/>
  <c r="AE197"/>
  <c r="AD202"/>
  <c r="AC202"/>
  <c r="AE202"/>
  <c r="AC206"/>
  <c r="AD206"/>
  <c r="AE206"/>
  <c r="K207"/>
  <c r="J207"/>
  <c r="L207"/>
  <c r="M207"/>
  <c r="N207"/>
  <c r="W208"/>
  <c r="V208"/>
  <c r="V209"/>
  <c r="W209"/>
  <c r="AE210"/>
  <c r="AC210"/>
  <c r="AD210"/>
  <c r="K219"/>
  <c r="J219"/>
  <c r="L219"/>
  <c r="M219"/>
  <c r="N219"/>
  <c r="AD234"/>
  <c r="AE234"/>
  <c r="AC234"/>
  <c r="V263"/>
  <c r="W263"/>
  <c r="AB101"/>
  <c r="I3"/>
  <c r="L6"/>
  <c r="O9"/>
  <c r="Q11"/>
  <c r="R12"/>
  <c r="AE13"/>
  <c r="I15"/>
  <c r="L18"/>
  <c r="O21"/>
  <c r="Q23"/>
  <c r="R24"/>
  <c r="AE25"/>
  <c r="I27"/>
  <c r="P29"/>
  <c r="I30"/>
  <c r="Q33"/>
  <c r="I34"/>
  <c r="L36"/>
  <c r="I45"/>
  <c r="I52"/>
  <c r="O54"/>
  <c r="O58"/>
  <c r="I59"/>
  <c r="J61"/>
  <c r="I66"/>
  <c r="W66"/>
  <c r="Q69"/>
  <c r="I70"/>
  <c r="L72"/>
  <c r="I81"/>
  <c r="N90"/>
  <c r="AB93"/>
  <c r="K95"/>
  <c r="M105"/>
  <c r="AC134"/>
  <c r="AB151"/>
  <c r="Q35"/>
  <c r="R35"/>
  <c r="P34"/>
  <c r="Q34"/>
  <c r="K41"/>
  <c r="L41"/>
  <c r="Q52"/>
  <c r="R52"/>
  <c r="Q59"/>
  <c r="R59"/>
  <c r="P70"/>
  <c r="Q70"/>
  <c r="K77"/>
  <c r="L77"/>
  <c r="V100"/>
  <c r="W100"/>
  <c r="Q112"/>
  <c r="R112"/>
  <c r="P112"/>
  <c r="AD115"/>
  <c r="AE115"/>
  <c r="K126"/>
  <c r="L126"/>
  <c r="M126"/>
  <c r="L127"/>
  <c r="M127"/>
  <c r="N127"/>
  <c r="AC129"/>
  <c r="AD129"/>
  <c r="I135"/>
  <c r="O135"/>
  <c r="V136"/>
  <c r="W136"/>
  <c r="AC141"/>
  <c r="AD141"/>
  <c r="AE141"/>
  <c r="I143"/>
  <c r="O143"/>
  <c r="J144"/>
  <c r="K144"/>
  <c r="L144"/>
  <c r="M144"/>
  <c r="N144"/>
  <c r="K147"/>
  <c r="J147"/>
  <c r="L147"/>
  <c r="M147"/>
  <c r="N147"/>
  <c r="AE155"/>
  <c r="AD155"/>
  <c r="V162"/>
  <c r="W162"/>
  <c r="AC196"/>
  <c r="AE196"/>
  <c r="AD196"/>
  <c r="AE203"/>
  <c r="AD203"/>
  <c r="AC203"/>
  <c r="V213"/>
  <c r="W213"/>
  <c r="AD214"/>
  <c r="AC214"/>
  <c r="AE214"/>
  <c r="W227"/>
  <c r="V227"/>
  <c r="R11"/>
  <c r="I4"/>
  <c r="K6"/>
  <c r="W6"/>
  <c r="O10"/>
  <c r="Q12"/>
  <c r="R13"/>
  <c r="AD13"/>
  <c r="I16"/>
  <c r="K18"/>
  <c r="W18"/>
  <c r="O22"/>
  <c r="Q24"/>
  <c r="R25"/>
  <c r="AD25"/>
  <c r="O31"/>
  <c r="W32"/>
  <c r="AE33"/>
  <c r="AB34"/>
  <c r="K36"/>
  <c r="AD42"/>
  <c r="W61"/>
  <c r="O67"/>
  <c r="W68"/>
  <c r="AE69"/>
  <c r="K72"/>
  <c r="AD78"/>
  <c r="K90"/>
  <c r="W128"/>
  <c r="V138"/>
  <c r="L95"/>
  <c r="M95"/>
  <c r="AC95"/>
  <c r="AD95"/>
  <c r="I112"/>
  <c r="O112"/>
  <c r="I116"/>
  <c r="O116"/>
  <c r="O118"/>
  <c r="I118"/>
  <c r="Q136"/>
  <c r="R136"/>
  <c r="P136"/>
  <c r="R147"/>
  <c r="P147"/>
  <c r="Q147"/>
  <c r="V149"/>
  <c r="W149"/>
  <c r="M154"/>
  <c r="J154"/>
  <c r="N154"/>
  <c r="O156"/>
  <c r="I156"/>
  <c r="P157"/>
  <c r="Q157"/>
  <c r="R157"/>
  <c r="AC163"/>
  <c r="AD163"/>
  <c r="AE163"/>
  <c r="W166"/>
  <c r="V166"/>
  <c r="AC168"/>
  <c r="AD168"/>
  <c r="AE168"/>
  <c r="V173"/>
  <c r="W173"/>
  <c r="W183"/>
  <c r="V183"/>
  <c r="V187"/>
  <c r="W187"/>
  <c r="AC211"/>
  <c r="AD211"/>
  <c r="AE211"/>
  <c r="V221"/>
  <c r="W221"/>
  <c r="V251"/>
  <c r="W251"/>
  <c r="V299"/>
  <c r="W299"/>
  <c r="O11"/>
  <c r="Q13"/>
  <c r="O23"/>
  <c r="Q25"/>
  <c r="V28"/>
  <c r="L31"/>
  <c r="AB38"/>
  <c r="AC42"/>
  <c r="AB63"/>
  <c r="L67"/>
  <c r="AB70"/>
  <c r="AC78"/>
  <c r="Q89"/>
  <c r="AE135"/>
  <c r="M36"/>
  <c r="N36"/>
  <c r="M72"/>
  <c r="N72"/>
  <c r="AC76"/>
  <c r="AD76"/>
  <c r="M79"/>
  <c r="N79"/>
  <c r="P87"/>
  <c r="Q87"/>
  <c r="V88"/>
  <c r="W88"/>
  <c r="L90"/>
  <c r="M90"/>
  <c r="I92"/>
  <c r="O92"/>
  <c r="P95"/>
  <c r="Q95"/>
  <c r="R95"/>
  <c r="AC104"/>
  <c r="AE104"/>
  <c r="J105"/>
  <c r="K105"/>
  <c r="N105"/>
  <c r="P106"/>
  <c r="Q106"/>
  <c r="AD109"/>
  <c r="AE109"/>
  <c r="I111"/>
  <c r="O111"/>
  <c r="J113"/>
  <c r="K113"/>
  <c r="L113"/>
  <c r="N113"/>
  <c r="AE114"/>
  <c r="AC114"/>
  <c r="AD114"/>
  <c r="Q120"/>
  <c r="R120"/>
  <c r="V129"/>
  <c r="W129"/>
  <c r="I136"/>
  <c r="O136"/>
  <c r="V141"/>
  <c r="W141"/>
  <c r="V151"/>
  <c r="W151"/>
  <c r="AD175"/>
  <c r="AE175"/>
  <c r="AC175"/>
  <c r="V201"/>
  <c r="W201"/>
  <c r="AC230"/>
  <c r="AE230"/>
  <c r="AD230"/>
  <c r="AC258"/>
  <c r="AD258"/>
  <c r="AE258"/>
  <c r="P71"/>
  <c r="R82"/>
  <c r="AE86"/>
  <c r="P89"/>
  <c r="W163"/>
  <c r="W168"/>
  <c r="V184"/>
  <c r="M43"/>
  <c r="N43"/>
  <c r="O38"/>
  <c r="I38"/>
  <c r="J40"/>
  <c r="K40"/>
  <c r="V45"/>
  <c r="W45"/>
  <c r="L47"/>
  <c r="M47"/>
  <c r="P51"/>
  <c r="Q51"/>
  <c r="V52"/>
  <c r="W52"/>
  <c r="I56"/>
  <c r="O56"/>
  <c r="O74"/>
  <c r="I74"/>
  <c r="J76"/>
  <c r="K76"/>
  <c r="V81"/>
  <c r="W81"/>
  <c r="L83"/>
  <c r="M83"/>
  <c r="Q100"/>
  <c r="R100"/>
  <c r="P100"/>
  <c r="AD103"/>
  <c r="AE103"/>
  <c r="L107"/>
  <c r="M107"/>
  <c r="J107"/>
  <c r="K107"/>
  <c r="N109"/>
  <c r="J109"/>
  <c r="L109"/>
  <c r="M109"/>
  <c r="O110"/>
  <c r="I110"/>
  <c r="R113"/>
  <c r="P113"/>
  <c r="Q113"/>
  <c r="V142"/>
  <c r="W142"/>
  <c r="J158"/>
  <c r="L158"/>
  <c r="M158"/>
  <c r="K158"/>
  <c r="I165"/>
  <c r="O165"/>
  <c r="V167"/>
  <c r="W167"/>
  <c r="AC170"/>
  <c r="AD170"/>
  <c r="AE170"/>
  <c r="I177"/>
  <c r="O177"/>
  <c r="J213"/>
  <c r="L213"/>
  <c r="N213"/>
  <c r="K213"/>
  <c r="M213"/>
  <c r="V223"/>
  <c r="W223"/>
  <c r="AC318"/>
  <c r="AD318"/>
  <c r="AE318"/>
  <c r="O39"/>
  <c r="R57"/>
  <c r="N12"/>
  <c r="Q15"/>
  <c r="R16"/>
  <c r="N24"/>
  <c r="Q27"/>
  <c r="R32"/>
  <c r="I33"/>
  <c r="O35"/>
  <c r="O42"/>
  <c r="O46"/>
  <c r="P53"/>
  <c r="Q57"/>
  <c r="L60"/>
  <c r="O64"/>
  <c r="R68"/>
  <c r="I69"/>
  <c r="O71"/>
  <c r="O78"/>
  <c r="O82"/>
  <c r="AD86"/>
  <c r="O91"/>
  <c r="R93"/>
  <c r="AD98"/>
  <c r="AE99"/>
  <c r="O105"/>
  <c r="AB124"/>
  <c r="AB125"/>
  <c r="AB130"/>
  <c r="AB131"/>
  <c r="Q47"/>
  <c r="R47"/>
  <c r="P58"/>
  <c r="Q58"/>
  <c r="Q76"/>
  <c r="R76"/>
  <c r="Q83"/>
  <c r="R83"/>
  <c r="I100"/>
  <c r="O100"/>
  <c r="I104"/>
  <c r="O104"/>
  <c r="AC108"/>
  <c r="AD108"/>
  <c r="AE108"/>
  <c r="K114"/>
  <c r="L114"/>
  <c r="M114"/>
  <c r="L115"/>
  <c r="M115"/>
  <c r="N115"/>
  <c r="W130"/>
  <c r="V130"/>
  <c r="AD154"/>
  <c r="AC154"/>
  <c r="AE154"/>
  <c r="AC157"/>
  <c r="AD157"/>
  <c r="AE157"/>
  <c r="AC158"/>
  <c r="AE158"/>
  <c r="I159"/>
  <c r="O159"/>
  <c r="AC194"/>
  <c r="AD194"/>
  <c r="AE194"/>
  <c r="V197"/>
  <c r="W197"/>
  <c r="J201"/>
  <c r="L201"/>
  <c r="K201"/>
  <c r="M201"/>
  <c r="N201"/>
  <c r="W202"/>
  <c r="V202"/>
  <c r="V239"/>
  <c r="W239"/>
  <c r="P35"/>
  <c r="R46"/>
  <c r="R5"/>
  <c r="N13"/>
  <c r="M24"/>
  <c r="N25"/>
  <c r="Q32"/>
  <c r="M37"/>
  <c r="AB58"/>
  <c r="K60"/>
  <c r="M73"/>
  <c r="W85"/>
  <c r="I87"/>
  <c r="AB87"/>
  <c r="W92"/>
  <c r="Q93"/>
  <c r="AC98"/>
  <c r="AD99"/>
  <c r="AD106"/>
  <c r="W116"/>
  <c r="AB117"/>
  <c r="AB119"/>
  <c r="AC40"/>
  <c r="AD40"/>
  <c r="AD60"/>
  <c r="AE60"/>
  <c r="Q40"/>
  <c r="R40"/>
  <c r="K65"/>
  <c r="L65"/>
  <c r="O106"/>
  <c r="I106"/>
  <c r="P94"/>
  <c r="Q94"/>
  <c r="I99"/>
  <c r="O99"/>
  <c r="J101"/>
  <c r="K101"/>
  <c r="L101"/>
  <c r="N101"/>
  <c r="AE102"/>
  <c r="AC102"/>
  <c r="AD102"/>
  <c r="Q108"/>
  <c r="R108"/>
  <c r="V134"/>
  <c r="W134"/>
  <c r="J137"/>
  <c r="K137"/>
  <c r="L137"/>
  <c r="M137"/>
  <c r="N137"/>
  <c r="AC139"/>
  <c r="AD139"/>
  <c r="AE139"/>
  <c r="AE143"/>
  <c r="AC143"/>
  <c r="AC146"/>
  <c r="AD146"/>
  <c r="AC156"/>
  <c r="AD156"/>
  <c r="J163"/>
  <c r="K163"/>
  <c r="L163"/>
  <c r="M163"/>
  <c r="N163"/>
  <c r="AC165"/>
  <c r="AD165"/>
  <c r="AE165"/>
  <c r="K166"/>
  <c r="M166"/>
  <c r="J166"/>
  <c r="V175"/>
  <c r="W175"/>
  <c r="L179"/>
  <c r="N179"/>
  <c r="K179"/>
  <c r="M179"/>
  <c r="AE204"/>
  <c r="AC204"/>
  <c r="AD204"/>
  <c r="W214"/>
  <c r="V214"/>
  <c r="P64"/>
  <c r="Q3"/>
  <c r="R4"/>
  <c r="Q4"/>
  <c r="M12"/>
  <c r="Q16"/>
  <c r="R17"/>
  <c r="W49"/>
  <c r="O55"/>
  <c r="W56"/>
  <c r="U63"/>
  <c r="Q68"/>
  <c r="N2"/>
  <c r="Q5"/>
  <c r="R6"/>
  <c r="AE7"/>
  <c r="L12"/>
  <c r="M13"/>
  <c r="N14"/>
  <c r="Q17"/>
  <c r="R18"/>
  <c r="AE19"/>
  <c r="L24"/>
  <c r="M25"/>
  <c r="N26"/>
  <c r="R28"/>
  <c r="W31"/>
  <c r="L37"/>
  <c r="AE43"/>
  <c r="P48"/>
  <c r="I51"/>
  <c r="AB51"/>
  <c r="L55"/>
  <c r="AB62"/>
  <c r="R63"/>
  <c r="W67"/>
  <c r="L73"/>
  <c r="AE79"/>
  <c r="P84"/>
  <c r="P88"/>
  <c r="P96"/>
  <c r="AB111"/>
  <c r="AB118"/>
  <c r="V120"/>
  <c r="U124"/>
  <c r="V132"/>
  <c r="K139"/>
  <c r="V144"/>
  <c r="V153"/>
  <c r="M160"/>
  <c r="K53"/>
  <c r="L53"/>
  <c r="M31"/>
  <c r="N31"/>
  <c r="M60"/>
  <c r="N60"/>
  <c r="M67"/>
  <c r="N67"/>
  <c r="O98"/>
  <c r="I98"/>
  <c r="R101"/>
  <c r="P101"/>
  <c r="Q101"/>
  <c r="V117"/>
  <c r="W117"/>
  <c r="V131"/>
  <c r="W131"/>
  <c r="R137"/>
  <c r="P137"/>
  <c r="Q137"/>
  <c r="V143"/>
  <c r="W143"/>
  <c r="L148"/>
  <c r="K148"/>
  <c r="M148"/>
  <c r="J148"/>
  <c r="P163"/>
  <c r="Q163"/>
  <c r="R163"/>
  <c r="AC181"/>
  <c r="AD181"/>
  <c r="AE181"/>
  <c r="K183"/>
  <c r="J183"/>
  <c r="M183"/>
  <c r="N183"/>
  <c r="AD185"/>
  <c r="AC185"/>
  <c r="AE185"/>
  <c r="AD190"/>
  <c r="AC190"/>
  <c r="AE190"/>
  <c r="M221"/>
  <c r="J221"/>
  <c r="K221"/>
  <c r="L221"/>
  <c r="N221"/>
  <c r="V287"/>
  <c r="W287"/>
  <c r="V311"/>
  <c r="W311"/>
  <c r="P39"/>
  <c r="Q39"/>
  <c r="I44"/>
  <c r="O44"/>
  <c r="O62"/>
  <c r="I62"/>
  <c r="P75"/>
  <c r="Q75"/>
  <c r="I80"/>
  <c r="O80"/>
  <c r="K89"/>
  <c r="L89"/>
  <c r="N97"/>
  <c r="J97"/>
  <c r="M97"/>
  <c r="K102"/>
  <c r="L102"/>
  <c r="M102"/>
  <c r="L103"/>
  <c r="M103"/>
  <c r="N103"/>
  <c r="J129"/>
  <c r="K129"/>
  <c r="N129"/>
  <c r="J140"/>
  <c r="M140"/>
  <c r="N140"/>
  <c r="J141"/>
  <c r="K141"/>
  <c r="N141"/>
  <c r="V146"/>
  <c r="W146"/>
  <c r="AD147"/>
  <c r="AC147"/>
  <c r="AE147"/>
  <c r="W154"/>
  <c r="V154"/>
  <c r="V156"/>
  <c r="W156"/>
  <c r="W164"/>
  <c r="V164"/>
  <c r="L172"/>
  <c r="K172"/>
  <c r="J172"/>
  <c r="AC187"/>
  <c r="AD187"/>
  <c r="AE187"/>
  <c r="AD209"/>
  <c r="AC209"/>
  <c r="AE209"/>
  <c r="M2"/>
  <c r="AD7"/>
  <c r="K12"/>
  <c r="W12"/>
  <c r="L13"/>
  <c r="M14"/>
  <c r="AD19"/>
  <c r="K24"/>
  <c r="W24"/>
  <c r="L25"/>
  <c r="M26"/>
  <c r="AE28"/>
  <c r="K37"/>
  <c r="AD43"/>
  <c r="W51"/>
  <c r="M53"/>
  <c r="K55"/>
  <c r="W62"/>
  <c r="K73"/>
  <c r="AD79"/>
  <c r="V110"/>
  <c r="W111"/>
  <c r="AE136"/>
  <c r="J139"/>
  <c r="K160"/>
  <c r="AE162"/>
  <c r="AD28"/>
  <c r="J37"/>
  <c r="P41"/>
  <c r="Q45"/>
  <c r="L48"/>
  <c r="J53"/>
  <c r="J55"/>
  <c r="I57"/>
  <c r="AE59"/>
  <c r="N63"/>
  <c r="J73"/>
  <c r="P77"/>
  <c r="Q81"/>
  <c r="L84"/>
  <c r="U87"/>
  <c r="N88"/>
  <c r="I93"/>
  <c r="O94"/>
  <c r="AB94"/>
  <c r="L96"/>
  <c r="W104"/>
  <c r="AB105"/>
  <c r="AB107"/>
  <c r="W109"/>
  <c r="AB112"/>
  <c r="AB113"/>
  <c r="V114"/>
  <c r="U118"/>
  <c r="AC127"/>
  <c r="J138"/>
  <c r="AC149"/>
  <c r="I176"/>
  <c r="O176"/>
  <c r="AE191"/>
  <c r="AD191"/>
  <c r="P207"/>
  <c r="R207"/>
  <c r="V233"/>
  <c r="W233"/>
  <c r="P239"/>
  <c r="Q239"/>
  <c r="R239"/>
  <c r="I248"/>
  <c r="O248"/>
  <c r="AD250"/>
  <c r="AC250"/>
  <c r="L253"/>
  <c r="M253"/>
  <c r="N253"/>
  <c r="AC253"/>
  <c r="AD253"/>
  <c r="AE253"/>
  <c r="V258"/>
  <c r="W258"/>
  <c r="I262"/>
  <c r="O262"/>
  <c r="AC267"/>
  <c r="AD267"/>
  <c r="AE267"/>
  <c r="M269"/>
  <c r="J269"/>
  <c r="K269"/>
  <c r="L269"/>
  <c r="P275"/>
  <c r="Q275"/>
  <c r="R275"/>
  <c r="I284"/>
  <c r="O284"/>
  <c r="AD286"/>
  <c r="AC286"/>
  <c r="AC290"/>
  <c r="AD290"/>
  <c r="AE290"/>
  <c r="I298"/>
  <c r="O298"/>
  <c r="AC305"/>
  <c r="AD305"/>
  <c r="AE305"/>
  <c r="V318"/>
  <c r="W318"/>
  <c r="AC321"/>
  <c r="AD321"/>
  <c r="AE321"/>
  <c r="M133"/>
  <c r="AD138"/>
  <c r="AD144"/>
  <c r="V145"/>
  <c r="W148"/>
  <c r="N149"/>
  <c r="AD150"/>
  <c r="L152"/>
  <c r="AE153"/>
  <c r="AB164"/>
  <c r="AB183"/>
  <c r="AD186"/>
  <c r="W194"/>
  <c r="W203"/>
  <c r="V205"/>
  <c r="W216"/>
  <c r="P220"/>
  <c r="O221"/>
  <c r="I226"/>
  <c r="V229"/>
  <c r="K241"/>
  <c r="K277"/>
  <c r="N174"/>
  <c r="M174"/>
  <c r="K178"/>
  <c r="M178"/>
  <c r="M185"/>
  <c r="L185"/>
  <c r="Q189"/>
  <c r="P189"/>
  <c r="O218"/>
  <c r="I218"/>
  <c r="N222"/>
  <c r="K222"/>
  <c r="L222"/>
  <c r="M222"/>
  <c r="Q225"/>
  <c r="P225"/>
  <c r="R226"/>
  <c r="P226"/>
  <c r="Q226"/>
  <c r="K227"/>
  <c r="L227"/>
  <c r="N227"/>
  <c r="L228"/>
  <c r="M228"/>
  <c r="V236"/>
  <c r="W236"/>
  <c r="V245"/>
  <c r="W245"/>
  <c r="AE251"/>
  <c r="AC251"/>
  <c r="AD251"/>
  <c r="AC254"/>
  <c r="AD254"/>
  <c r="AE254"/>
  <c r="AC268"/>
  <c r="AD268"/>
  <c r="AE268"/>
  <c r="AC269"/>
  <c r="AD269"/>
  <c r="AE269"/>
  <c r="V281"/>
  <c r="W281"/>
  <c r="V295"/>
  <c r="W295"/>
  <c r="W303"/>
  <c r="V303"/>
  <c r="AC304"/>
  <c r="AD304"/>
  <c r="AE304"/>
  <c r="N306"/>
  <c r="J306"/>
  <c r="K306"/>
  <c r="L306"/>
  <c r="M306"/>
  <c r="V309"/>
  <c r="W309"/>
  <c r="K312"/>
  <c r="L312"/>
  <c r="M312"/>
  <c r="N312"/>
  <c r="V321"/>
  <c r="W321"/>
  <c r="K108"/>
  <c r="I130"/>
  <c r="L133"/>
  <c r="AC138"/>
  <c r="AC144"/>
  <c r="I145"/>
  <c r="L149"/>
  <c r="AC150"/>
  <c r="O151"/>
  <c r="J152"/>
  <c r="AD153"/>
  <c r="AB169"/>
  <c r="V172"/>
  <c r="M175"/>
  <c r="AC186"/>
  <c r="AB189"/>
  <c r="M191"/>
  <c r="N195"/>
  <c r="R210"/>
  <c r="I211"/>
  <c r="U234"/>
  <c r="W253"/>
  <c r="R178"/>
  <c r="Q178"/>
  <c r="I200"/>
  <c r="O200"/>
  <c r="AE215"/>
  <c r="AD215"/>
  <c r="P227"/>
  <c r="Q227"/>
  <c r="R227"/>
  <c r="K240"/>
  <c r="L240"/>
  <c r="M240"/>
  <c r="N240"/>
  <c r="I249"/>
  <c r="O249"/>
  <c r="V250"/>
  <c r="W250"/>
  <c r="W267"/>
  <c r="V267"/>
  <c r="N270"/>
  <c r="J270"/>
  <c r="K270"/>
  <c r="L270"/>
  <c r="M270"/>
  <c r="AC270"/>
  <c r="AD270"/>
  <c r="AE270"/>
  <c r="V273"/>
  <c r="W273"/>
  <c r="K276"/>
  <c r="L276"/>
  <c r="M276"/>
  <c r="N276"/>
  <c r="I285"/>
  <c r="O285"/>
  <c r="AD307"/>
  <c r="AE307"/>
  <c r="L313"/>
  <c r="M313"/>
  <c r="N313"/>
  <c r="AC313"/>
  <c r="AD313"/>
  <c r="AE313"/>
  <c r="I171"/>
  <c r="L175"/>
  <c r="K191"/>
  <c r="M195"/>
  <c r="R208"/>
  <c r="Q210"/>
  <c r="W218"/>
  <c r="O219"/>
  <c r="W228"/>
  <c r="W254"/>
  <c r="U286"/>
  <c r="V288"/>
  <c r="P171"/>
  <c r="R171"/>
  <c r="N198"/>
  <c r="M198"/>
  <c r="K202"/>
  <c r="M202"/>
  <c r="M209"/>
  <c r="L209"/>
  <c r="Q213"/>
  <c r="P213"/>
  <c r="I225"/>
  <c r="O225"/>
  <c r="AC240"/>
  <c r="AD240"/>
  <c r="AE240"/>
  <c r="R250"/>
  <c r="P250"/>
  <c r="Q250"/>
  <c r="L256"/>
  <c r="J256"/>
  <c r="K256"/>
  <c r="V260"/>
  <c r="W260"/>
  <c r="J263"/>
  <c r="K263"/>
  <c r="L263"/>
  <c r="M263"/>
  <c r="N263"/>
  <c r="V268"/>
  <c r="W268"/>
  <c r="AD271"/>
  <c r="AE271"/>
  <c r="AC276"/>
  <c r="AD276"/>
  <c r="AE276"/>
  <c r="R286"/>
  <c r="P286"/>
  <c r="Q286"/>
  <c r="L292"/>
  <c r="J292"/>
  <c r="K292"/>
  <c r="V296"/>
  <c r="W296"/>
  <c r="J299"/>
  <c r="K299"/>
  <c r="L299"/>
  <c r="M299"/>
  <c r="N299"/>
  <c r="V304"/>
  <c r="W304"/>
  <c r="I308"/>
  <c r="O308"/>
  <c r="AD310"/>
  <c r="AC310"/>
  <c r="AC314"/>
  <c r="AD314"/>
  <c r="AE314"/>
  <c r="R105"/>
  <c r="R117"/>
  <c r="R129"/>
  <c r="J133"/>
  <c r="R141"/>
  <c r="J149"/>
  <c r="V152"/>
  <c r="R160"/>
  <c r="I169"/>
  <c r="U174"/>
  <c r="U176"/>
  <c r="W189"/>
  <c r="AB193"/>
  <c r="V196"/>
  <c r="O201"/>
  <c r="P208"/>
  <c r="W211"/>
  <c r="AE212"/>
  <c r="AB213"/>
  <c r="U237"/>
  <c r="AD308"/>
  <c r="J175"/>
  <c r="N175"/>
  <c r="O182"/>
  <c r="I182"/>
  <c r="L191"/>
  <c r="N191"/>
  <c r="K195"/>
  <c r="J195"/>
  <c r="R202"/>
  <c r="Q202"/>
  <c r="AC220"/>
  <c r="AE220"/>
  <c r="AE227"/>
  <c r="AC227"/>
  <c r="AD227"/>
  <c r="AD238"/>
  <c r="AC238"/>
  <c r="L241"/>
  <c r="M241"/>
  <c r="N241"/>
  <c r="AC241"/>
  <c r="AD241"/>
  <c r="AE241"/>
  <c r="V246"/>
  <c r="W246"/>
  <c r="I250"/>
  <c r="O250"/>
  <c r="AC255"/>
  <c r="AD255"/>
  <c r="AE255"/>
  <c r="M257"/>
  <c r="J257"/>
  <c r="K257"/>
  <c r="L257"/>
  <c r="P263"/>
  <c r="Q263"/>
  <c r="R263"/>
  <c r="I272"/>
  <c r="O272"/>
  <c r="AD274"/>
  <c r="AC274"/>
  <c r="L277"/>
  <c r="M277"/>
  <c r="N277"/>
  <c r="AC277"/>
  <c r="AD277"/>
  <c r="AE277"/>
  <c r="V282"/>
  <c r="W282"/>
  <c r="I286"/>
  <c r="O286"/>
  <c r="AC291"/>
  <c r="AD291"/>
  <c r="AE291"/>
  <c r="P299"/>
  <c r="Q299"/>
  <c r="R299"/>
  <c r="AE311"/>
  <c r="AC311"/>
  <c r="AD311"/>
  <c r="V319"/>
  <c r="W319"/>
  <c r="AE201"/>
  <c r="AD212"/>
  <c r="AE219"/>
  <c r="K265"/>
  <c r="AD272"/>
  <c r="AC308"/>
  <c r="P195"/>
  <c r="R195"/>
  <c r="I224"/>
  <c r="O224"/>
  <c r="O231"/>
  <c r="I231"/>
  <c r="Q237"/>
  <c r="P237"/>
  <c r="AE239"/>
  <c r="AC239"/>
  <c r="AD239"/>
  <c r="AC242"/>
  <c r="AD242"/>
  <c r="AE242"/>
  <c r="V269"/>
  <c r="W269"/>
  <c r="AE275"/>
  <c r="AC275"/>
  <c r="AD275"/>
  <c r="AC278"/>
  <c r="AD278"/>
  <c r="AE278"/>
  <c r="AC294"/>
  <c r="AD294"/>
  <c r="AE294"/>
  <c r="V306"/>
  <c r="W306"/>
  <c r="I309"/>
  <c r="O309"/>
  <c r="L316"/>
  <c r="J316"/>
  <c r="K316"/>
  <c r="R107"/>
  <c r="R119"/>
  <c r="R131"/>
  <c r="O140"/>
  <c r="O145"/>
  <c r="R148"/>
  <c r="P154"/>
  <c r="R164"/>
  <c r="Q166"/>
  <c r="AB171"/>
  <c r="R172"/>
  <c r="W182"/>
  <c r="N190"/>
  <c r="I193"/>
  <c r="N197"/>
  <c r="U198"/>
  <c r="U200"/>
  <c r="AD201"/>
  <c r="Q203"/>
  <c r="I204"/>
  <c r="W204"/>
  <c r="O205"/>
  <c r="N208"/>
  <c r="AB217"/>
  <c r="AC219"/>
  <c r="U222"/>
  <c r="I235"/>
  <c r="W241"/>
  <c r="AB256"/>
  <c r="AB257"/>
  <c r="AC272"/>
  <c r="W277"/>
  <c r="AB293"/>
  <c r="U310"/>
  <c r="Q177"/>
  <c r="P177"/>
  <c r="O206"/>
  <c r="I206"/>
  <c r="L215"/>
  <c r="N215"/>
  <c r="L220"/>
  <c r="J220"/>
  <c r="K220"/>
  <c r="I236"/>
  <c r="O236"/>
  <c r="W255"/>
  <c r="V255"/>
  <c r="N258"/>
  <c r="J258"/>
  <c r="K258"/>
  <c r="L258"/>
  <c r="M258"/>
  <c r="V261"/>
  <c r="W261"/>
  <c r="K264"/>
  <c r="L264"/>
  <c r="M264"/>
  <c r="N264"/>
  <c r="I273"/>
  <c r="O273"/>
  <c r="W291"/>
  <c r="V291"/>
  <c r="N294"/>
  <c r="J294"/>
  <c r="K294"/>
  <c r="L294"/>
  <c r="M294"/>
  <c r="V297"/>
  <c r="W297"/>
  <c r="K300"/>
  <c r="L300"/>
  <c r="M300"/>
  <c r="N300"/>
  <c r="R310"/>
  <c r="P310"/>
  <c r="Q310"/>
  <c r="Q107"/>
  <c r="Q119"/>
  <c r="Q131"/>
  <c r="R132"/>
  <c r="Q142"/>
  <c r="Q148"/>
  <c r="O154"/>
  <c r="R158"/>
  <c r="O160"/>
  <c r="Q164"/>
  <c r="P166"/>
  <c r="P172"/>
  <c r="AE176"/>
  <c r="AB177"/>
  <c r="L190"/>
  <c r="K197"/>
  <c r="R198"/>
  <c r="I199"/>
  <c r="R200"/>
  <c r="P203"/>
  <c r="M205"/>
  <c r="Q207"/>
  <c r="M208"/>
  <c r="O214"/>
  <c r="W217"/>
  <c r="AB226"/>
  <c r="U238"/>
  <c r="V240"/>
  <c r="W242"/>
  <c r="U274"/>
  <c r="V276"/>
  <c r="W278"/>
  <c r="AB292"/>
  <c r="AB315"/>
  <c r="I188"/>
  <c r="O188"/>
  <c r="P219"/>
  <c r="R219"/>
  <c r="L232"/>
  <c r="J232"/>
  <c r="K232"/>
  <c r="M233"/>
  <c r="J233"/>
  <c r="K233"/>
  <c r="L233"/>
  <c r="N234"/>
  <c r="J234"/>
  <c r="K234"/>
  <c r="L234"/>
  <c r="M234"/>
  <c r="I237"/>
  <c r="O237"/>
  <c r="L244"/>
  <c r="J244"/>
  <c r="K244"/>
  <c r="V248"/>
  <c r="W248"/>
  <c r="J251"/>
  <c r="K251"/>
  <c r="L251"/>
  <c r="M251"/>
  <c r="N251"/>
  <c r="V256"/>
  <c r="W256"/>
  <c r="AD259"/>
  <c r="AE259"/>
  <c r="AC264"/>
  <c r="AD264"/>
  <c r="AE264"/>
  <c r="R274"/>
  <c r="P274"/>
  <c r="Q274"/>
  <c r="L280"/>
  <c r="J280"/>
  <c r="K280"/>
  <c r="V284"/>
  <c r="W284"/>
  <c r="J287"/>
  <c r="K287"/>
  <c r="L287"/>
  <c r="M287"/>
  <c r="N287"/>
  <c r="AD295"/>
  <c r="AE295"/>
  <c r="L301"/>
  <c r="M301"/>
  <c r="N301"/>
  <c r="AC301"/>
  <c r="AD301"/>
  <c r="AE301"/>
  <c r="I310"/>
  <c r="O310"/>
  <c r="AC317"/>
  <c r="AD317"/>
  <c r="AE317"/>
  <c r="AC320"/>
  <c r="AD320"/>
  <c r="AE320"/>
  <c r="P142"/>
  <c r="R152"/>
  <c r="P158"/>
  <c r="O166"/>
  <c r="O172"/>
  <c r="O174"/>
  <c r="R189"/>
  <c r="AB195"/>
  <c r="R196"/>
  <c r="AD198"/>
  <c r="Q200"/>
  <c r="L205"/>
  <c r="W206"/>
  <c r="O207"/>
  <c r="W215"/>
  <c r="AE218"/>
  <c r="W225"/>
  <c r="I238"/>
  <c r="K190"/>
  <c r="M190"/>
  <c r="M197"/>
  <c r="L197"/>
  <c r="Q201"/>
  <c r="P201"/>
  <c r="L208"/>
  <c r="K208"/>
  <c r="O230"/>
  <c r="I230"/>
  <c r="R238"/>
  <c r="P238"/>
  <c r="Q238"/>
  <c r="AC243"/>
  <c r="AD243"/>
  <c r="AE243"/>
  <c r="M245"/>
  <c r="J245"/>
  <c r="K245"/>
  <c r="L245"/>
  <c r="P251"/>
  <c r="Q251"/>
  <c r="R251"/>
  <c r="I260"/>
  <c r="O260"/>
  <c r="AD262"/>
  <c r="AC262"/>
  <c r="L265"/>
  <c r="M265"/>
  <c r="N265"/>
  <c r="AC265"/>
  <c r="AD265"/>
  <c r="AE265"/>
  <c r="V270"/>
  <c r="W270"/>
  <c r="I274"/>
  <c r="O274"/>
  <c r="AC279"/>
  <c r="AD279"/>
  <c r="AE279"/>
  <c r="M281"/>
  <c r="J281"/>
  <c r="K281"/>
  <c r="L281"/>
  <c r="P287"/>
  <c r="Q287"/>
  <c r="R287"/>
  <c r="V292"/>
  <c r="W292"/>
  <c r="I296"/>
  <c r="O296"/>
  <c r="AD298"/>
  <c r="AC298"/>
  <c r="AC302"/>
  <c r="AD302"/>
  <c r="AE302"/>
  <c r="V307"/>
  <c r="W307"/>
  <c r="W315"/>
  <c r="V315"/>
  <c r="AC316"/>
  <c r="AD316"/>
  <c r="AE316"/>
  <c r="N318"/>
  <c r="J318"/>
  <c r="K318"/>
  <c r="L318"/>
  <c r="M318"/>
  <c r="AC198"/>
  <c r="W199"/>
  <c r="AD218"/>
  <c r="I212"/>
  <c r="O212"/>
  <c r="V220"/>
  <c r="W220"/>
  <c r="AC228"/>
  <c r="AD228"/>
  <c r="AE228"/>
  <c r="AD231"/>
  <c r="AE231"/>
  <c r="AC232"/>
  <c r="AE232"/>
  <c r="AC244"/>
  <c r="AD244"/>
  <c r="AE244"/>
  <c r="AC245"/>
  <c r="AD245"/>
  <c r="AE245"/>
  <c r="V257"/>
  <c r="W257"/>
  <c r="AE263"/>
  <c r="AC263"/>
  <c r="AD263"/>
  <c r="AC266"/>
  <c r="AD266"/>
  <c r="AE266"/>
  <c r="AC280"/>
  <c r="AD280"/>
  <c r="AE280"/>
  <c r="AC281"/>
  <c r="AD281"/>
  <c r="AE281"/>
  <c r="AE299"/>
  <c r="AC299"/>
  <c r="AD299"/>
  <c r="V320"/>
  <c r="W320"/>
  <c r="P183"/>
  <c r="R183"/>
  <c r="N210"/>
  <c r="M210"/>
  <c r="W243"/>
  <c r="V243"/>
  <c r="N246"/>
  <c r="J246"/>
  <c r="K246"/>
  <c r="L246"/>
  <c r="M246"/>
  <c r="AC246"/>
  <c r="AD246"/>
  <c r="AE246"/>
  <c r="V249"/>
  <c r="W249"/>
  <c r="K252"/>
  <c r="L252"/>
  <c r="M252"/>
  <c r="N252"/>
  <c r="I261"/>
  <c r="O261"/>
  <c r="W279"/>
  <c r="V279"/>
  <c r="N282"/>
  <c r="J282"/>
  <c r="K282"/>
  <c r="L282"/>
  <c r="M282"/>
  <c r="AC282"/>
  <c r="AD282"/>
  <c r="AE282"/>
  <c r="V285"/>
  <c r="W285"/>
  <c r="K288"/>
  <c r="L288"/>
  <c r="M288"/>
  <c r="N288"/>
  <c r="V294"/>
  <c r="W294"/>
  <c r="I297"/>
  <c r="O297"/>
  <c r="L304"/>
  <c r="J304"/>
  <c r="K304"/>
  <c r="V308"/>
  <c r="W308"/>
  <c r="J311"/>
  <c r="K311"/>
  <c r="L311"/>
  <c r="M311"/>
  <c r="N311"/>
  <c r="V316"/>
  <c r="W316"/>
  <c r="AC319"/>
  <c r="AD319"/>
  <c r="AE319"/>
  <c r="Q99"/>
  <c r="N108"/>
  <c r="Q111"/>
  <c r="N120"/>
  <c r="Q123"/>
  <c r="N132"/>
  <c r="Q135"/>
  <c r="L142"/>
  <c r="AB145"/>
  <c r="U150"/>
  <c r="I151"/>
  <c r="N152"/>
  <c r="W160"/>
  <c r="Q162"/>
  <c r="AD167"/>
  <c r="W170"/>
  <c r="J174"/>
  <c r="N178"/>
  <c r="W179"/>
  <c r="I181"/>
  <c r="N185"/>
  <c r="U186"/>
  <c r="U188"/>
  <c r="Q191"/>
  <c r="I192"/>
  <c r="W192"/>
  <c r="O193"/>
  <c r="L198"/>
  <c r="P202"/>
  <c r="AB205"/>
  <c r="R206"/>
  <c r="AC207"/>
  <c r="V212"/>
  <c r="K216"/>
  <c r="J222"/>
  <c r="O223"/>
  <c r="R225"/>
  <c r="N228"/>
  <c r="AB229"/>
  <c r="W230"/>
  <c r="U262"/>
  <c r="V264"/>
  <c r="W266"/>
  <c r="N269"/>
  <c r="U298"/>
  <c r="V300"/>
  <c r="K313"/>
  <c r="O194"/>
  <c r="I194"/>
  <c r="L203"/>
  <c r="N203"/>
  <c r="R214"/>
  <c r="Q214"/>
  <c r="M229"/>
  <c r="N229"/>
  <c r="W231"/>
  <c r="V231"/>
  <c r="V232"/>
  <c r="W232"/>
  <c r="V235"/>
  <c r="W235"/>
  <c r="J239"/>
  <c r="K239"/>
  <c r="L239"/>
  <c r="M239"/>
  <c r="N239"/>
  <c r="V244"/>
  <c r="W244"/>
  <c r="AD247"/>
  <c r="AE247"/>
  <c r="AC252"/>
  <c r="AD252"/>
  <c r="AE252"/>
  <c r="R262"/>
  <c r="P262"/>
  <c r="Q262"/>
  <c r="L268"/>
  <c r="J268"/>
  <c r="K268"/>
  <c r="V272"/>
  <c r="W272"/>
  <c r="J275"/>
  <c r="K275"/>
  <c r="L275"/>
  <c r="M275"/>
  <c r="N275"/>
  <c r="V280"/>
  <c r="W280"/>
  <c r="AD283"/>
  <c r="AE283"/>
  <c r="AE287"/>
  <c r="AC287"/>
  <c r="AD287"/>
  <c r="L289"/>
  <c r="M289"/>
  <c r="N289"/>
  <c r="AC289"/>
  <c r="AD289"/>
  <c r="AE289"/>
  <c r="R298"/>
  <c r="P298"/>
  <c r="Q298"/>
  <c r="P311"/>
  <c r="Q311"/>
  <c r="R311"/>
  <c r="J320"/>
  <c r="K320"/>
  <c r="L320"/>
  <c r="M320"/>
  <c r="N320"/>
  <c r="K142"/>
  <c r="N146"/>
  <c r="M152"/>
  <c r="M155"/>
  <c r="Q159"/>
  <c r="AC167"/>
  <c r="L178"/>
  <c r="N180"/>
  <c r="K185"/>
  <c r="I187"/>
  <c r="R188"/>
  <c r="P191"/>
  <c r="AC191"/>
  <c r="Q195"/>
  <c r="K198"/>
  <c r="P206"/>
  <c r="J216"/>
  <c r="R220"/>
  <c r="R224"/>
  <c r="M227"/>
  <c r="K228"/>
  <c r="N256"/>
  <c r="AE261"/>
  <c r="N292"/>
  <c r="AE297"/>
  <c r="AB303"/>
  <c r="AE310"/>
  <c r="J313"/>
  <c r="I242"/>
  <c r="P249"/>
  <c r="I254"/>
  <c r="P261"/>
  <c r="I266"/>
  <c r="P273"/>
  <c r="I278"/>
  <c r="P285"/>
  <c r="AE288"/>
  <c r="I290"/>
  <c r="L293"/>
  <c r="P297"/>
  <c r="AE300"/>
  <c r="I302"/>
  <c r="L305"/>
  <c r="P309"/>
  <c r="AE312"/>
  <c r="I314"/>
  <c r="L317"/>
  <c r="O320"/>
  <c r="P321"/>
  <c r="I243"/>
  <c r="I255"/>
  <c r="I267"/>
  <c r="I279"/>
  <c r="AD288"/>
  <c r="I291"/>
  <c r="K293"/>
  <c r="W293"/>
  <c r="AD300"/>
  <c r="I303"/>
  <c r="K305"/>
  <c r="W305"/>
  <c r="AD312"/>
  <c r="I315"/>
  <c r="K317"/>
  <c r="W317"/>
  <c r="J293"/>
  <c r="J305"/>
  <c r="J317"/>
  <c r="N321"/>
  <c r="W247"/>
  <c r="W259"/>
  <c r="W271"/>
  <c r="W283"/>
  <c r="M321"/>
  <c r="R231"/>
  <c r="R243"/>
  <c r="R255"/>
  <c r="R267"/>
  <c r="R279"/>
  <c r="R291"/>
  <c r="R303"/>
  <c r="R315"/>
  <c r="L321"/>
  <c r="I247"/>
  <c r="I259"/>
  <c r="I271"/>
  <c r="I283"/>
  <c r="Q291"/>
  <c r="R292"/>
  <c r="I295"/>
  <c r="R304"/>
  <c r="I307"/>
  <c r="R316"/>
  <c r="I319"/>
  <c r="K321"/>
  <c r="Q232"/>
  <c r="Q244"/>
  <c r="Q256"/>
  <c r="Q268"/>
  <c r="Q280"/>
  <c r="Q292"/>
  <c r="Q304"/>
  <c r="Q316"/>
  <c r="R320"/>
  <c r="Q320"/>
  <c r="R321"/>
  <c r="J226" l="1"/>
  <c r="K226"/>
  <c r="M226"/>
  <c r="L226"/>
  <c r="N226"/>
  <c r="AC87"/>
  <c r="AD87"/>
  <c r="AE87"/>
  <c r="J156"/>
  <c r="K156"/>
  <c r="L156"/>
  <c r="M156"/>
  <c r="N156"/>
  <c r="J134"/>
  <c r="K134"/>
  <c r="M134"/>
  <c r="N134"/>
  <c r="L134"/>
  <c r="K86"/>
  <c r="L86"/>
  <c r="M86"/>
  <c r="N86"/>
  <c r="J86"/>
  <c r="AC100"/>
  <c r="AD100"/>
  <c r="AE100"/>
  <c r="AC46"/>
  <c r="AD46"/>
  <c r="AE46"/>
  <c r="K291"/>
  <c r="N291"/>
  <c r="J291"/>
  <c r="L291"/>
  <c r="M291"/>
  <c r="J254"/>
  <c r="M254"/>
  <c r="N254"/>
  <c r="K254"/>
  <c r="L254"/>
  <c r="V298"/>
  <c r="W298"/>
  <c r="AC145"/>
  <c r="AD145"/>
  <c r="AE145"/>
  <c r="AC256"/>
  <c r="AD256"/>
  <c r="AE256"/>
  <c r="W200"/>
  <c r="V200"/>
  <c r="J308"/>
  <c r="K308"/>
  <c r="L308"/>
  <c r="M308"/>
  <c r="N308"/>
  <c r="J285"/>
  <c r="K285"/>
  <c r="L285"/>
  <c r="M285"/>
  <c r="N285"/>
  <c r="J211"/>
  <c r="N211"/>
  <c r="L211"/>
  <c r="M211"/>
  <c r="K211"/>
  <c r="J218"/>
  <c r="K218"/>
  <c r="L218"/>
  <c r="M218"/>
  <c r="N218"/>
  <c r="J284"/>
  <c r="K284"/>
  <c r="L284"/>
  <c r="M284"/>
  <c r="N284"/>
  <c r="J262"/>
  <c r="K262"/>
  <c r="L262"/>
  <c r="M262"/>
  <c r="N262"/>
  <c r="J248"/>
  <c r="K248"/>
  <c r="L248"/>
  <c r="M248"/>
  <c r="N248"/>
  <c r="AC94"/>
  <c r="AD94"/>
  <c r="AE94"/>
  <c r="J33"/>
  <c r="K33"/>
  <c r="L33"/>
  <c r="M33"/>
  <c r="N33"/>
  <c r="N38"/>
  <c r="J38"/>
  <c r="K38"/>
  <c r="L38"/>
  <c r="M38"/>
  <c r="AC70"/>
  <c r="AD70"/>
  <c r="AE70"/>
  <c r="L59"/>
  <c r="M59"/>
  <c r="J59"/>
  <c r="K59"/>
  <c r="N59"/>
  <c r="AC50"/>
  <c r="AD50"/>
  <c r="AE50"/>
  <c r="J302"/>
  <c r="M302"/>
  <c r="N302"/>
  <c r="K302"/>
  <c r="L302"/>
  <c r="AC177"/>
  <c r="AD177"/>
  <c r="AE177"/>
  <c r="AC213"/>
  <c r="AE213"/>
  <c r="AD213"/>
  <c r="V234"/>
  <c r="W234"/>
  <c r="K176"/>
  <c r="M176"/>
  <c r="N176"/>
  <c r="J176"/>
  <c r="L176"/>
  <c r="J57"/>
  <c r="K57"/>
  <c r="L57"/>
  <c r="M57"/>
  <c r="N57"/>
  <c r="AC34"/>
  <c r="AE34"/>
  <c r="AD34"/>
  <c r="AC151"/>
  <c r="AD151"/>
  <c r="AE151"/>
  <c r="AD101"/>
  <c r="AE101"/>
  <c r="AC101"/>
  <c r="J170"/>
  <c r="K170"/>
  <c r="L170"/>
  <c r="M170"/>
  <c r="N170"/>
  <c r="N186"/>
  <c r="M186"/>
  <c r="J186"/>
  <c r="K186"/>
  <c r="L186"/>
  <c r="N150"/>
  <c r="J150"/>
  <c r="K150"/>
  <c r="L150"/>
  <c r="M150"/>
  <c r="AD164"/>
  <c r="AE164"/>
  <c r="AC164"/>
  <c r="AC111"/>
  <c r="AD111"/>
  <c r="AE111"/>
  <c r="J74"/>
  <c r="K74"/>
  <c r="L74"/>
  <c r="M74"/>
  <c r="N74"/>
  <c r="N143"/>
  <c r="J143"/>
  <c r="K143"/>
  <c r="L143"/>
  <c r="M143"/>
  <c r="L66"/>
  <c r="M66"/>
  <c r="J66"/>
  <c r="K66"/>
  <c r="N66"/>
  <c r="M27"/>
  <c r="N27"/>
  <c r="L27"/>
  <c r="J27"/>
  <c r="K27"/>
  <c r="M3"/>
  <c r="N3"/>
  <c r="J3"/>
  <c r="L3"/>
  <c r="K3"/>
  <c r="K122"/>
  <c r="M122"/>
  <c r="N122"/>
  <c r="L122"/>
  <c r="J122"/>
  <c r="J32"/>
  <c r="N32"/>
  <c r="L32"/>
  <c r="M32"/>
  <c r="K32"/>
  <c r="J75"/>
  <c r="K75"/>
  <c r="L75"/>
  <c r="M75"/>
  <c r="N75"/>
  <c r="J56"/>
  <c r="N56"/>
  <c r="K56"/>
  <c r="L56"/>
  <c r="M56"/>
  <c r="J266"/>
  <c r="M266"/>
  <c r="N266"/>
  <c r="K266"/>
  <c r="L266"/>
  <c r="J151"/>
  <c r="M151"/>
  <c r="N151"/>
  <c r="K151"/>
  <c r="L151"/>
  <c r="J237"/>
  <c r="K237"/>
  <c r="L237"/>
  <c r="M237"/>
  <c r="N237"/>
  <c r="K224"/>
  <c r="M224"/>
  <c r="N224"/>
  <c r="J224"/>
  <c r="L224"/>
  <c r="J319"/>
  <c r="K319"/>
  <c r="L319"/>
  <c r="M319"/>
  <c r="N319"/>
  <c r="J314"/>
  <c r="M314"/>
  <c r="N314"/>
  <c r="K314"/>
  <c r="L314"/>
  <c r="J187"/>
  <c r="N187"/>
  <c r="K187"/>
  <c r="L187"/>
  <c r="M187"/>
  <c r="J261"/>
  <c r="K261"/>
  <c r="L261"/>
  <c r="M261"/>
  <c r="N261"/>
  <c r="J236"/>
  <c r="K236"/>
  <c r="L236"/>
  <c r="M236"/>
  <c r="N236"/>
  <c r="M204"/>
  <c r="J204"/>
  <c r="K204"/>
  <c r="L204"/>
  <c r="N204"/>
  <c r="J309"/>
  <c r="K309"/>
  <c r="L309"/>
  <c r="M309"/>
  <c r="N309"/>
  <c r="N169"/>
  <c r="K169"/>
  <c r="L169"/>
  <c r="J169"/>
  <c r="M169"/>
  <c r="AD183"/>
  <c r="AE183"/>
  <c r="AC183"/>
  <c r="AD105"/>
  <c r="AC105"/>
  <c r="AE105"/>
  <c r="AC118"/>
  <c r="AE118"/>
  <c r="AD118"/>
  <c r="J51"/>
  <c r="K51"/>
  <c r="L51"/>
  <c r="M51"/>
  <c r="N51"/>
  <c r="N16"/>
  <c r="M16"/>
  <c r="K16"/>
  <c r="J16"/>
  <c r="L16"/>
  <c r="L153"/>
  <c r="J153"/>
  <c r="K153"/>
  <c r="M153"/>
  <c r="N153"/>
  <c r="AC75"/>
  <c r="AD75"/>
  <c r="AE75"/>
  <c r="J295"/>
  <c r="K295"/>
  <c r="L295"/>
  <c r="M295"/>
  <c r="N295"/>
  <c r="N181"/>
  <c r="J181"/>
  <c r="K181"/>
  <c r="L181"/>
  <c r="M181"/>
  <c r="W186"/>
  <c r="V186"/>
  <c r="AC257"/>
  <c r="AD257"/>
  <c r="AE257"/>
  <c r="W188"/>
  <c r="V188"/>
  <c r="V238"/>
  <c r="W238"/>
  <c r="V237"/>
  <c r="W237"/>
  <c r="K303"/>
  <c r="N303"/>
  <c r="J303"/>
  <c r="L303"/>
  <c r="M303"/>
  <c r="J278"/>
  <c r="M278"/>
  <c r="N278"/>
  <c r="L278"/>
  <c r="K278"/>
  <c r="J194"/>
  <c r="K194"/>
  <c r="L194"/>
  <c r="M194"/>
  <c r="N194"/>
  <c r="M192"/>
  <c r="K192"/>
  <c r="L192"/>
  <c r="N192"/>
  <c r="J192"/>
  <c r="AC293"/>
  <c r="AD293"/>
  <c r="AE293"/>
  <c r="V174"/>
  <c r="W174"/>
  <c r="J249"/>
  <c r="K249"/>
  <c r="L249"/>
  <c r="M249"/>
  <c r="N249"/>
  <c r="AE169"/>
  <c r="AC169"/>
  <c r="AD169"/>
  <c r="AC107"/>
  <c r="AD107"/>
  <c r="AE107"/>
  <c r="J44"/>
  <c r="N44"/>
  <c r="K44"/>
  <c r="L44"/>
  <c r="M44"/>
  <c r="AC51"/>
  <c r="AD51"/>
  <c r="AE51"/>
  <c r="J177"/>
  <c r="L177"/>
  <c r="K177"/>
  <c r="M177"/>
  <c r="N177"/>
  <c r="L30"/>
  <c r="M30"/>
  <c r="J30"/>
  <c r="K30"/>
  <c r="N30"/>
  <c r="J123"/>
  <c r="L123"/>
  <c r="N123"/>
  <c r="K123"/>
  <c r="M123"/>
  <c r="J124"/>
  <c r="K124"/>
  <c r="M124"/>
  <c r="L124"/>
  <c r="N124"/>
  <c r="J247"/>
  <c r="K247"/>
  <c r="L247"/>
  <c r="M247"/>
  <c r="N247"/>
  <c r="J230"/>
  <c r="N230"/>
  <c r="K230"/>
  <c r="L230"/>
  <c r="M230"/>
  <c r="V274"/>
  <c r="W274"/>
  <c r="J199"/>
  <c r="N199"/>
  <c r="K199"/>
  <c r="L199"/>
  <c r="M199"/>
  <c r="V310"/>
  <c r="W310"/>
  <c r="AD171"/>
  <c r="AC171"/>
  <c r="AE171"/>
  <c r="K231"/>
  <c r="J231"/>
  <c r="L231"/>
  <c r="M231"/>
  <c r="N231"/>
  <c r="J286"/>
  <c r="K286"/>
  <c r="L286"/>
  <c r="M286"/>
  <c r="N286"/>
  <c r="J272"/>
  <c r="K272"/>
  <c r="L272"/>
  <c r="M272"/>
  <c r="N272"/>
  <c r="J250"/>
  <c r="K250"/>
  <c r="L250"/>
  <c r="M250"/>
  <c r="N250"/>
  <c r="W176"/>
  <c r="V176"/>
  <c r="K200"/>
  <c r="J200"/>
  <c r="L200"/>
  <c r="M200"/>
  <c r="N200"/>
  <c r="V124"/>
  <c r="W124"/>
  <c r="K106"/>
  <c r="L106"/>
  <c r="J106"/>
  <c r="M106"/>
  <c r="N106"/>
  <c r="J112"/>
  <c r="K112"/>
  <c r="M112"/>
  <c r="L112"/>
  <c r="N112"/>
  <c r="K70"/>
  <c r="L70"/>
  <c r="J70"/>
  <c r="M70"/>
  <c r="N70"/>
  <c r="K50"/>
  <c r="L50"/>
  <c r="M50"/>
  <c r="N50"/>
  <c r="J50"/>
  <c r="L184"/>
  <c r="K184"/>
  <c r="J184"/>
  <c r="M184"/>
  <c r="N184"/>
  <c r="AC82"/>
  <c r="AD82"/>
  <c r="AE82"/>
  <c r="AD226"/>
  <c r="AC226"/>
  <c r="AE226"/>
  <c r="J259"/>
  <c r="K259"/>
  <c r="L259"/>
  <c r="M259"/>
  <c r="N259"/>
  <c r="AD229"/>
  <c r="AE229"/>
  <c r="AC229"/>
  <c r="J310"/>
  <c r="K310"/>
  <c r="L310"/>
  <c r="M310"/>
  <c r="N310"/>
  <c r="J273"/>
  <c r="K273"/>
  <c r="L273"/>
  <c r="M273"/>
  <c r="N273"/>
  <c r="K130"/>
  <c r="L130"/>
  <c r="J130"/>
  <c r="M130"/>
  <c r="N130"/>
  <c r="AC112"/>
  <c r="AD112"/>
  <c r="AE112"/>
  <c r="AC62"/>
  <c r="AD62"/>
  <c r="AE62"/>
  <c r="AD117"/>
  <c r="AC117"/>
  <c r="AE117"/>
  <c r="AC58"/>
  <c r="AD58"/>
  <c r="AE58"/>
  <c r="K159"/>
  <c r="J159"/>
  <c r="L159"/>
  <c r="M159"/>
  <c r="N159"/>
  <c r="J92"/>
  <c r="M92"/>
  <c r="N92"/>
  <c r="K92"/>
  <c r="L92"/>
  <c r="K34"/>
  <c r="L34"/>
  <c r="J34"/>
  <c r="N34"/>
  <c r="M34"/>
  <c r="J128"/>
  <c r="M128"/>
  <c r="N128"/>
  <c r="K128"/>
  <c r="L128"/>
  <c r="J271"/>
  <c r="K271"/>
  <c r="L271"/>
  <c r="M271"/>
  <c r="N271"/>
  <c r="J260"/>
  <c r="K260"/>
  <c r="L260"/>
  <c r="M260"/>
  <c r="N260"/>
  <c r="AD113"/>
  <c r="AE113"/>
  <c r="AC113"/>
  <c r="J62"/>
  <c r="L62"/>
  <c r="K62"/>
  <c r="M62"/>
  <c r="N62"/>
  <c r="V63"/>
  <c r="W63"/>
  <c r="AC119"/>
  <c r="AD119"/>
  <c r="AE119"/>
  <c r="J100"/>
  <c r="K100"/>
  <c r="M100"/>
  <c r="L100"/>
  <c r="N100"/>
  <c r="AC124"/>
  <c r="AD124"/>
  <c r="AE124"/>
  <c r="J116"/>
  <c r="M116"/>
  <c r="N116"/>
  <c r="K116"/>
  <c r="L116"/>
  <c r="J135"/>
  <c r="K135"/>
  <c r="L135"/>
  <c r="M135"/>
  <c r="N135"/>
  <c r="J81"/>
  <c r="K81"/>
  <c r="L81"/>
  <c r="M81"/>
  <c r="N81"/>
  <c r="M91"/>
  <c r="N91"/>
  <c r="J91"/>
  <c r="K91"/>
  <c r="L91"/>
  <c r="J290"/>
  <c r="M290"/>
  <c r="N290"/>
  <c r="K290"/>
  <c r="L290"/>
  <c r="V262"/>
  <c r="W262"/>
  <c r="AC292"/>
  <c r="AD292"/>
  <c r="AE292"/>
  <c r="J225"/>
  <c r="L225"/>
  <c r="N225"/>
  <c r="M225"/>
  <c r="K225"/>
  <c r="V286"/>
  <c r="W286"/>
  <c r="AC189"/>
  <c r="AD189"/>
  <c r="AE189"/>
  <c r="V87"/>
  <c r="W87"/>
  <c r="K98"/>
  <c r="M98"/>
  <c r="N98"/>
  <c r="J98"/>
  <c r="L98"/>
  <c r="J99"/>
  <c r="L99"/>
  <c r="N99"/>
  <c r="K99"/>
  <c r="M99"/>
  <c r="AD125"/>
  <c r="AE125"/>
  <c r="AC125"/>
  <c r="J111"/>
  <c r="L111"/>
  <c r="N111"/>
  <c r="K111"/>
  <c r="M111"/>
  <c r="AE38"/>
  <c r="AD38"/>
  <c r="AC38"/>
  <c r="N4"/>
  <c r="K4"/>
  <c r="J4"/>
  <c r="L4"/>
  <c r="M4"/>
  <c r="J45"/>
  <c r="K45"/>
  <c r="L45"/>
  <c r="M45"/>
  <c r="N45"/>
  <c r="M15"/>
  <c r="N15"/>
  <c r="J15"/>
  <c r="K15"/>
  <c r="L15"/>
  <c r="J68"/>
  <c r="N68"/>
  <c r="L68"/>
  <c r="M68"/>
  <c r="K68"/>
  <c r="J39"/>
  <c r="K39"/>
  <c r="L39"/>
  <c r="M39"/>
  <c r="N39"/>
  <c r="M173"/>
  <c r="L173"/>
  <c r="J173"/>
  <c r="K173"/>
  <c r="N173"/>
  <c r="J297"/>
  <c r="K297"/>
  <c r="L297"/>
  <c r="M297"/>
  <c r="N297"/>
  <c r="V198"/>
  <c r="W198"/>
  <c r="K110"/>
  <c r="M110"/>
  <c r="N110"/>
  <c r="J110"/>
  <c r="L110"/>
  <c r="J307"/>
  <c r="K307"/>
  <c r="L307"/>
  <c r="M307"/>
  <c r="N307"/>
  <c r="W150"/>
  <c r="V150"/>
  <c r="K243"/>
  <c r="N243"/>
  <c r="J243"/>
  <c r="L243"/>
  <c r="M243"/>
  <c r="K212"/>
  <c r="J212"/>
  <c r="L212"/>
  <c r="M212"/>
  <c r="N212"/>
  <c r="AE217"/>
  <c r="AC217"/>
  <c r="AD217"/>
  <c r="J182"/>
  <c r="M182"/>
  <c r="N182"/>
  <c r="K182"/>
  <c r="L182"/>
  <c r="J298"/>
  <c r="K298"/>
  <c r="L298"/>
  <c r="M298"/>
  <c r="N298"/>
  <c r="K315"/>
  <c r="N315"/>
  <c r="J315"/>
  <c r="L315"/>
  <c r="M315"/>
  <c r="K267"/>
  <c r="N267"/>
  <c r="J267"/>
  <c r="L267"/>
  <c r="M267"/>
  <c r="AC205"/>
  <c r="AD205"/>
  <c r="AE205"/>
  <c r="J296"/>
  <c r="K296"/>
  <c r="L296"/>
  <c r="M296"/>
  <c r="N296"/>
  <c r="AD195"/>
  <c r="AC195"/>
  <c r="AE195"/>
  <c r="AC315"/>
  <c r="AD315"/>
  <c r="AE315"/>
  <c r="J206"/>
  <c r="K206"/>
  <c r="L206"/>
  <c r="M206"/>
  <c r="N206"/>
  <c r="W222"/>
  <c r="V222"/>
  <c r="N193"/>
  <c r="M193"/>
  <c r="J193"/>
  <c r="K193"/>
  <c r="L193"/>
  <c r="W118"/>
  <c r="V118"/>
  <c r="J104"/>
  <c r="M104"/>
  <c r="N104"/>
  <c r="K104"/>
  <c r="L104"/>
  <c r="AC130"/>
  <c r="AD130"/>
  <c r="AE130"/>
  <c r="J69"/>
  <c r="K69"/>
  <c r="L69"/>
  <c r="M69"/>
  <c r="N69"/>
  <c r="J165"/>
  <c r="L165"/>
  <c r="K165"/>
  <c r="M165"/>
  <c r="N165"/>
  <c r="J136"/>
  <c r="K136"/>
  <c r="L136"/>
  <c r="M136"/>
  <c r="N136"/>
  <c r="AC93"/>
  <c r="AD93"/>
  <c r="AE93"/>
  <c r="J52"/>
  <c r="K52"/>
  <c r="L52"/>
  <c r="M52"/>
  <c r="N52"/>
  <c r="V112"/>
  <c r="W112"/>
  <c r="AC39"/>
  <c r="AD39"/>
  <c r="AE39"/>
  <c r="AC303"/>
  <c r="AD303"/>
  <c r="AE303"/>
  <c r="J274"/>
  <c r="K274"/>
  <c r="L274"/>
  <c r="M274"/>
  <c r="N274"/>
  <c r="J238"/>
  <c r="K238"/>
  <c r="L238"/>
  <c r="M238"/>
  <c r="N238"/>
  <c r="AC193"/>
  <c r="AD193"/>
  <c r="AE193"/>
  <c r="J283"/>
  <c r="K283"/>
  <c r="L283"/>
  <c r="M283"/>
  <c r="N283"/>
  <c r="K255"/>
  <c r="N255"/>
  <c r="J255"/>
  <c r="L255"/>
  <c r="M255"/>
  <c r="K279"/>
  <c r="N279"/>
  <c r="J279"/>
  <c r="L279"/>
  <c r="M279"/>
  <c r="J242"/>
  <c r="M242"/>
  <c r="N242"/>
  <c r="L242"/>
  <c r="K242"/>
  <c r="K188"/>
  <c r="J188"/>
  <c r="L188"/>
  <c r="M188"/>
  <c r="N188"/>
  <c r="J235"/>
  <c r="K235"/>
  <c r="L235"/>
  <c r="M235"/>
  <c r="N235"/>
  <c r="K171"/>
  <c r="J171"/>
  <c r="N171"/>
  <c r="L171"/>
  <c r="M171"/>
  <c r="J145"/>
  <c r="M145"/>
  <c r="N145"/>
  <c r="K145"/>
  <c r="L145"/>
  <c r="J93"/>
  <c r="K93"/>
  <c r="N93"/>
  <c r="L93"/>
  <c r="M93"/>
  <c r="J80"/>
  <c r="N80"/>
  <c r="K80"/>
  <c r="L80"/>
  <c r="M80"/>
  <c r="J87"/>
  <c r="K87"/>
  <c r="L87"/>
  <c r="M87"/>
  <c r="N87"/>
  <c r="AC131"/>
  <c r="AD131"/>
  <c r="AE131"/>
  <c r="AC63"/>
  <c r="AD63"/>
  <c r="AE63"/>
  <c r="K118"/>
  <c r="L118"/>
  <c r="J118"/>
  <c r="M118"/>
  <c r="N118"/>
  <c r="AC57"/>
  <c r="AD57"/>
  <c r="AE57"/>
  <c r="L167"/>
  <c r="N167"/>
  <c r="J167"/>
  <c r="K167"/>
  <c r="M167"/>
</calcChain>
</file>

<file path=xl/sharedStrings.xml><?xml version="1.0" encoding="utf-8"?>
<sst xmlns="http://schemas.openxmlformats.org/spreadsheetml/2006/main" count="6938" uniqueCount="730">
  <si>
    <t>BetIntel AI - Dataset de treino das ultimas 5 Copas concluidas</t>
  </si>
  <si>
    <t>Escopo</t>
  </si>
  <si>
    <t>Copas do Mundo masculinas FIFA 2006, 2010, 2014, 2018 e 2022.</t>
  </si>
  <si>
    <t>Uso recomendado</t>
  </si>
  <si>
    <t>Treino/evaluacao educacional. Analise baseada em dados historicos. Nao garante resultado.</t>
  </si>
  <si>
    <t>Google</t>
  </si>
  <si>
    <t>Nao foi usado como fonte de treino; o arquivo usa fontes CSV reproduziveis e URLs auditaveis.</t>
  </si>
  <si>
    <t>Odds</t>
  </si>
  <si>
    <t>Odds reais foram ignoradas e nao constam nas abas de treino.</t>
  </si>
  <si>
    <t>Indicador</t>
  </si>
  <si>
    <t>Valor</t>
  </si>
  <si>
    <t>Partidas</t>
  </si>
  <si>
    <t>Partidas com escanteios</t>
  </si>
  <si>
    <t>Partidas sem escanteios por partida</t>
  </si>
  <si>
    <t>Gols</t>
  </si>
  <si>
    <t>TotalCards modelo</t>
  </si>
  <si>
    <t>Fonte principal resultados/cartoes</t>
  </si>
  <si>
    <t>https://github.com/jfjelstul/worldcup</t>
  </si>
  <si>
    <t>Fonte principal escanteios</t>
  </si>
  <si>
    <t>https://footystats.org/world-cup</t>
  </si>
  <si>
    <t>tournament_year</t>
  </si>
  <si>
    <t>tournament_name</t>
  </si>
  <si>
    <t>match_id</t>
  </si>
  <si>
    <t>stage</t>
  </si>
  <si>
    <t>group_name</t>
  </si>
  <si>
    <t>match_date</t>
  </si>
  <si>
    <t>match_time</t>
  </si>
  <si>
    <t>home_team</t>
  </si>
  <si>
    <t>away_team</t>
  </si>
  <si>
    <t>home_goals</t>
  </si>
  <si>
    <t>away_goals</t>
  </si>
  <si>
    <t>score</t>
  </si>
  <si>
    <t>result_1x2</t>
  </si>
  <si>
    <t>official_result</t>
  </si>
  <si>
    <t>winner_team</t>
  </si>
  <si>
    <t>winner_basis</t>
  </si>
  <si>
    <t>extra_time</t>
  </si>
  <si>
    <t>penalty_shootout</t>
  </si>
  <si>
    <t>penalty_score</t>
  </si>
  <si>
    <t>home_corners</t>
  </si>
  <si>
    <t>away_corners</t>
  </si>
  <si>
    <t>total_corners</t>
  </si>
  <si>
    <t>corners_status</t>
  </si>
  <si>
    <t>home_yellow_cards</t>
  </si>
  <si>
    <t>away_yellow_cards</t>
  </si>
  <si>
    <t>total_yellow_cards</t>
  </si>
  <si>
    <t>home_straight_red_cards</t>
  </si>
  <si>
    <t>away_straight_red_cards</t>
  </si>
  <si>
    <t>total_straight_red_cards</t>
  </si>
  <si>
    <t>home_second_yellow_cards</t>
  </si>
  <si>
    <t>away_second_yellow_cards</t>
  </si>
  <si>
    <t>total_second_yellow_cards</t>
  </si>
  <si>
    <t>home_red_card_sendoffs</t>
  </si>
  <si>
    <t>away_red_card_sendoffs</t>
  </si>
  <si>
    <t>total_red_card_sendoffs</t>
  </si>
  <si>
    <t>total_cards_model</t>
  </si>
  <si>
    <t>cards_status</t>
  </si>
  <si>
    <t>home_shots</t>
  </si>
  <si>
    <t>away_shots</t>
  </si>
  <si>
    <t>home_shots_on_target</t>
  </si>
  <si>
    <t>away_shots_on_target</t>
  </si>
  <si>
    <t>home_possession</t>
  </si>
  <si>
    <t>away_possession</t>
  </si>
  <si>
    <t>stadium</t>
  </si>
  <si>
    <t>city</t>
  </si>
  <si>
    <t>country</t>
  </si>
  <si>
    <t>results_source</t>
  </si>
  <si>
    <t>cards_source</t>
  </si>
  <si>
    <t>corners_source</t>
  </si>
  <si>
    <t>notes</t>
  </si>
  <si>
    <t>2006 FIFA Men's World Cup</t>
  </si>
  <si>
    <t>M-2006-01</t>
  </si>
  <si>
    <t>group stage</t>
  </si>
  <si>
    <t>Group A</t>
  </si>
  <si>
    <t>18:00</t>
  </si>
  <si>
    <t>Germany</t>
  </si>
  <si>
    <t>Costa Rica</t>
  </si>
  <si>
    <t>4–2</t>
  </si>
  <si>
    <t>H</t>
  </si>
  <si>
    <t>0-0</t>
  </si>
  <si>
    <t>dados_insuficientes</t>
  </si>
  <si>
    <t>ok</t>
  </si>
  <si>
    <t>Allianz Arena</t>
  </si>
  <si>
    <t>Munich</t>
  </si>
  <si>
    <t>https://raw.githubusercontent.com/jfjelstul/worldcup/master/data-csv/matches.csv</t>
  </si>
  <si>
    <t>https://raw.githubusercontent.com/jfjelstul/worldcup/master/data-csv/bookings.csv</t>
  </si>
  <si>
    <t>https://footystats.org/c-dl.php?comp=1419&amp;type=matches</t>
  </si>
  <si>
    <t>Escanteios por partida indisponiveis no CSV FootyStats desta edicao; nao preencher com estimativa.</t>
  </si>
  <si>
    <t>M-2006-02</t>
  </si>
  <si>
    <t>21:00</t>
  </si>
  <si>
    <t>Poland</t>
  </si>
  <si>
    <t>Ecuador</t>
  </si>
  <si>
    <t>0–2</t>
  </si>
  <si>
    <t>A</t>
  </si>
  <si>
    <t>Arena AufShalke</t>
  </si>
  <si>
    <t>Gelsenkirchen</t>
  </si>
  <si>
    <t>M-2006-03</t>
  </si>
  <si>
    <t>Group B</t>
  </si>
  <si>
    <t>15:00</t>
  </si>
  <si>
    <t>England</t>
  </si>
  <si>
    <t>Paraguay</t>
  </si>
  <si>
    <t>1–0</t>
  </si>
  <si>
    <t>Waldstadion</t>
  </si>
  <si>
    <t>Frankfurt</t>
  </si>
  <si>
    <t>M-2006-04</t>
  </si>
  <si>
    <t>Trinidad and Tobago</t>
  </si>
  <si>
    <t>Sweden</t>
  </si>
  <si>
    <t>0–0</t>
  </si>
  <si>
    <t>D</t>
  </si>
  <si>
    <t>Draw</t>
  </si>
  <si>
    <t>draw_no_winner</t>
  </si>
  <si>
    <t>Westfalenstadion</t>
  </si>
  <si>
    <t>Dortmund</t>
  </si>
  <si>
    <t>M-2006-05</t>
  </si>
  <si>
    <t>Group C</t>
  </si>
  <si>
    <t>Argentina</t>
  </si>
  <si>
    <t>Ivory Coast</t>
  </si>
  <si>
    <t>2–1</t>
  </si>
  <si>
    <t>Volksparkstadion</t>
  </si>
  <si>
    <t>Hamburg</t>
  </si>
  <si>
    <t>M-2006-06</t>
  </si>
  <si>
    <t>Serbia and Montenegro</t>
  </si>
  <si>
    <t>Netherlands</t>
  </si>
  <si>
    <t>0–1</t>
  </si>
  <si>
    <t>Zentralstadion</t>
  </si>
  <si>
    <t>Leipzig</t>
  </si>
  <si>
    <t>M-2006-07</t>
  </si>
  <si>
    <t>Group D</t>
  </si>
  <si>
    <t>Mexico</t>
  </si>
  <si>
    <t>Iran</t>
  </si>
  <si>
    <t>3–1</t>
  </si>
  <si>
    <t>Frankenstadion</t>
  </si>
  <si>
    <t>Nuremberg</t>
  </si>
  <si>
    <t>M-2006-08</t>
  </si>
  <si>
    <t>Angola</t>
  </si>
  <si>
    <t>Portugal</t>
  </si>
  <si>
    <t>RheinEnergieStadion</t>
  </si>
  <si>
    <t>Cologne</t>
  </si>
  <si>
    <t>M-2006-09</t>
  </si>
  <si>
    <t>Group F</t>
  </si>
  <si>
    <t>Australia</t>
  </si>
  <si>
    <t>Japan</t>
  </si>
  <si>
    <t>Fritz-Walter-Stadion</t>
  </si>
  <si>
    <t>Kaiserslautern</t>
  </si>
  <si>
    <t>M-2006-10</t>
  </si>
  <si>
    <t>Group E</t>
  </si>
  <si>
    <t>United States</t>
  </si>
  <si>
    <t>Czech Republic</t>
  </si>
  <si>
    <t>0–3</t>
  </si>
  <si>
    <t>M-2006-11</t>
  </si>
  <si>
    <t>Italy</t>
  </si>
  <si>
    <t>Ghana</t>
  </si>
  <si>
    <t>2–0</t>
  </si>
  <si>
    <t>Niedersachsenstadion</t>
  </si>
  <si>
    <t>Hanover</t>
  </si>
  <si>
    <t>M-2006-12</t>
  </si>
  <si>
    <t>Group G</t>
  </si>
  <si>
    <t>South Korea</t>
  </si>
  <si>
    <t>Togo</t>
  </si>
  <si>
    <t>M-2006-13</t>
  </si>
  <si>
    <t>France</t>
  </si>
  <si>
    <t>Switzerland</t>
  </si>
  <si>
    <t>Neckarstadion</t>
  </si>
  <si>
    <t>Stuttgart</t>
  </si>
  <si>
    <t>M-2006-14</t>
  </si>
  <si>
    <t>Brazil</t>
  </si>
  <si>
    <t>Croatia</t>
  </si>
  <si>
    <t>Olympiastadion</t>
  </si>
  <si>
    <t>Berlin</t>
  </si>
  <si>
    <t>M-2006-15</t>
  </si>
  <si>
    <t>Group H</t>
  </si>
  <si>
    <t>Spain</t>
  </si>
  <si>
    <t>Ukraine</t>
  </si>
  <si>
    <t>4–0</t>
  </si>
  <si>
    <t>M-2006-16</t>
  </si>
  <si>
    <t>Tunisia</t>
  </si>
  <si>
    <t>Saudi Arabia</t>
  </si>
  <si>
    <t>2–2</t>
  </si>
  <si>
    <t>M-2006-17</t>
  </si>
  <si>
    <t>M-2006-18</t>
  </si>
  <si>
    <t>3–0</t>
  </si>
  <si>
    <t>M-2006-19</t>
  </si>
  <si>
    <t>M-2006-20</t>
  </si>
  <si>
    <t>M-2006-21</t>
  </si>
  <si>
    <t>6–0</t>
  </si>
  <si>
    <t>M-2006-22</t>
  </si>
  <si>
    <t>M-2006-23</t>
  </si>
  <si>
    <t>M-2006-24</t>
  </si>
  <si>
    <t>M-2006-25</t>
  </si>
  <si>
    <t>M-2006-26</t>
  </si>
  <si>
    <t>1–1</t>
  </si>
  <si>
    <t>M-2006-27</t>
  </si>
  <si>
    <t>M-2006-28</t>
  </si>
  <si>
    <t>M-2006-29</t>
  </si>
  <si>
    <t>M-2006-30</t>
  </si>
  <si>
    <t>M-2006-31</t>
  </si>
  <si>
    <t>0–4</t>
  </si>
  <si>
    <t>M-2006-32</t>
  </si>
  <si>
    <t>M-2006-33</t>
  </si>
  <si>
    <t>16:00</t>
  </si>
  <si>
    <t>1–2</t>
  </si>
  <si>
    <t>M-2006-34</t>
  </si>
  <si>
    <t>M-2006-35</t>
  </si>
  <si>
    <t>M-2006-36</t>
  </si>
  <si>
    <t>M-2006-37</t>
  </si>
  <si>
    <t>M-2006-38</t>
  </si>
  <si>
    <t>M-2006-39</t>
  </si>
  <si>
    <t>3–2</t>
  </si>
  <si>
    <t>M-2006-40</t>
  </si>
  <si>
    <t>M-2006-41</t>
  </si>
  <si>
    <t>M-2006-42</t>
  </si>
  <si>
    <t>M-2006-43</t>
  </si>
  <si>
    <t>M-2006-44</t>
  </si>
  <si>
    <t>1–4</t>
  </si>
  <si>
    <t>M-2006-45</t>
  </si>
  <si>
    <t>M-2006-46</t>
  </si>
  <si>
    <t>M-2006-47</t>
  </si>
  <si>
    <t>M-2006-48</t>
  </si>
  <si>
    <t>M-2006-49</t>
  </si>
  <si>
    <t>round of 16</t>
  </si>
  <si>
    <t>not applicable</t>
  </si>
  <si>
    <t>17:00</t>
  </si>
  <si>
    <t>M-2006-50</t>
  </si>
  <si>
    <t>extra_time_score</t>
  </si>
  <si>
    <t>M-2006-51</t>
  </si>
  <si>
    <t>M-2006-52</t>
  </si>
  <si>
    <t>M-2006-53</t>
  </si>
  <si>
    <t>M-2006-54</t>
  </si>
  <si>
    <t>penalties</t>
  </si>
  <si>
    <t>M-2006-55</t>
  </si>
  <si>
    <t>M-2006-56</t>
  </si>
  <si>
    <t>1–3</t>
  </si>
  <si>
    <t>M-2006-57</t>
  </si>
  <si>
    <t>quarter-finals</t>
  </si>
  <si>
    <t>M-2006-58</t>
  </si>
  <si>
    <t>M-2006-59</t>
  </si>
  <si>
    <t>M-2006-60</t>
  </si>
  <si>
    <t>M-2006-61</t>
  </si>
  <si>
    <t>semi-finals</t>
  </si>
  <si>
    <t>M-2006-62</t>
  </si>
  <si>
    <t>M-2006-63</t>
  </si>
  <si>
    <t>third-place match</t>
  </si>
  <si>
    <t>M-2006-64</t>
  </si>
  <si>
    <t>final</t>
  </si>
  <si>
    <t>20:00</t>
  </si>
  <si>
    <t>5–3</t>
  </si>
  <si>
    <t>2010 FIFA Men's World Cup</t>
  </si>
  <si>
    <t>M-2010-01</t>
  </si>
  <si>
    <t>South Africa</t>
  </si>
  <si>
    <t>Soccer City</t>
  </si>
  <si>
    <t>Johannesburg</t>
  </si>
  <si>
    <t>https://footystats.org/c-dl.php?comp=1389&amp;type=matches</t>
  </si>
  <si>
    <t>M-2010-02</t>
  </si>
  <si>
    <t>20:30</t>
  </si>
  <si>
    <t>Uruguay</t>
  </si>
  <si>
    <t>Cape Town Stadium</t>
  </si>
  <si>
    <t>Cape Town</t>
  </si>
  <si>
    <t>M-2010-03</t>
  </si>
  <si>
    <t>13:30</t>
  </si>
  <si>
    <t>Greece</t>
  </si>
  <si>
    <t>Nelson Mandela Bay Stadium</t>
  </si>
  <si>
    <t>Port Elizabeth</t>
  </si>
  <si>
    <t>M-2010-04</t>
  </si>
  <si>
    <t>Nigeria</t>
  </si>
  <si>
    <t>Ellis Park Stadium</t>
  </si>
  <si>
    <t>M-2010-05</t>
  </si>
  <si>
    <t>Royal Bafokeng Stadium</t>
  </si>
  <si>
    <t>Rustenburg</t>
  </si>
  <si>
    <t>M-2010-06</t>
  </si>
  <si>
    <t>Algeria</t>
  </si>
  <si>
    <t>Slovenia</t>
  </si>
  <si>
    <t>Peter Mokaba Stadium</t>
  </si>
  <si>
    <t>Polokwane</t>
  </si>
  <si>
    <t>M-2010-07</t>
  </si>
  <si>
    <t>Serbia</t>
  </si>
  <si>
    <t>Loftus Versfeld Stadium</t>
  </si>
  <si>
    <t>Pretoria</t>
  </si>
  <si>
    <t>M-2010-08</t>
  </si>
  <si>
    <t>Moses Mabhida Stadium</t>
  </si>
  <si>
    <t>Durban</t>
  </si>
  <si>
    <t>M-2010-09</t>
  </si>
  <si>
    <t>Denmark</t>
  </si>
  <si>
    <t>M-2010-10</t>
  </si>
  <si>
    <t>Cameroon</t>
  </si>
  <si>
    <t>Free State Stadium</t>
  </si>
  <si>
    <t>Bloemfontein</t>
  </si>
  <si>
    <t>M-2010-11</t>
  </si>
  <si>
    <t>M-2010-12</t>
  </si>
  <si>
    <t>New Zealand</t>
  </si>
  <si>
    <t>Slovakia</t>
  </si>
  <si>
    <t>M-2010-13</t>
  </si>
  <si>
    <t>M-2010-14</t>
  </si>
  <si>
    <t>North Korea</t>
  </si>
  <si>
    <t>M-2010-15</t>
  </si>
  <si>
    <t>Honduras</t>
  </si>
  <si>
    <t>Chile</t>
  </si>
  <si>
    <t>Mbombela Stadium</t>
  </si>
  <si>
    <t>Nelspruit</t>
  </si>
  <si>
    <t>M-2010-16</t>
  </si>
  <si>
    <t>M-2010-17</t>
  </si>
  <si>
    <t>M-2010-18</t>
  </si>
  <si>
    <t>4–1</t>
  </si>
  <si>
    <t>M-2010-19</t>
  </si>
  <si>
    <t>M-2010-20</t>
  </si>
  <si>
    <t>M-2010-21</t>
  </si>
  <si>
    <t>M-2010-22</t>
  </si>
  <si>
    <t>M-2010-23</t>
  </si>
  <si>
    <t>M-2010-24</t>
  </si>
  <si>
    <t>M-2010-25</t>
  </si>
  <si>
    <t>M-2010-26</t>
  </si>
  <si>
    <t>M-2010-27</t>
  </si>
  <si>
    <t>M-2010-28</t>
  </si>
  <si>
    <t>M-2010-29</t>
  </si>
  <si>
    <t>M-2010-30</t>
  </si>
  <si>
    <t>7–0</t>
  </si>
  <si>
    <t>M-2010-31</t>
  </si>
  <si>
    <t>M-2010-32</t>
  </si>
  <si>
    <t>M-2010-33</t>
  </si>
  <si>
    <t>M-2010-34</t>
  </si>
  <si>
    <t>M-2010-35</t>
  </si>
  <si>
    <t>M-2010-36</t>
  </si>
  <si>
    <t>M-2010-37</t>
  </si>
  <si>
    <t>M-2010-38</t>
  </si>
  <si>
    <t>M-2010-39</t>
  </si>
  <si>
    <t>M-2010-40</t>
  </si>
  <si>
    <t>M-2010-41</t>
  </si>
  <si>
    <t>M-2010-42</t>
  </si>
  <si>
    <t>M-2010-43</t>
  </si>
  <si>
    <t>M-2010-44</t>
  </si>
  <si>
    <t>M-2010-45</t>
  </si>
  <si>
    <t>M-2010-46</t>
  </si>
  <si>
    <t>M-2010-47</t>
  </si>
  <si>
    <t>M-2010-48</t>
  </si>
  <si>
    <t>M-2010-49</t>
  </si>
  <si>
    <t>M-2010-50</t>
  </si>
  <si>
    <t>M-2010-51</t>
  </si>
  <si>
    <t>M-2010-52</t>
  </si>
  <si>
    <t>M-2010-53</t>
  </si>
  <si>
    <t>M-2010-54</t>
  </si>
  <si>
    <t>M-2010-55</t>
  </si>
  <si>
    <t>M-2010-56</t>
  </si>
  <si>
    <t>M-2010-57</t>
  </si>
  <si>
    <t>M-2010-58</t>
  </si>
  <si>
    <t>M-2010-59</t>
  </si>
  <si>
    <t>M-2010-60</t>
  </si>
  <si>
    <t>M-2010-61</t>
  </si>
  <si>
    <t>2–3</t>
  </si>
  <si>
    <t>M-2010-62</t>
  </si>
  <si>
    <t>M-2010-63</t>
  </si>
  <si>
    <t>M-2010-64</t>
  </si>
  <si>
    <t>2014 FIFA Men's World Cup</t>
  </si>
  <si>
    <t>M-2014-01</t>
  </si>
  <si>
    <t>Arena Corinthians</t>
  </si>
  <si>
    <t>São Paulo</t>
  </si>
  <si>
    <t>https://footystats.org/c-dl.php?comp=1384&amp;type=matches</t>
  </si>
  <si>
    <t>M-2014-02</t>
  </si>
  <si>
    <t>13:00</t>
  </si>
  <si>
    <t>Arena das Dunas</t>
  </si>
  <si>
    <t>Natal</t>
  </si>
  <si>
    <t>M-2014-03</t>
  </si>
  <si>
    <t>1–5</t>
  </si>
  <si>
    <t>Arena Fonte Nova</t>
  </si>
  <si>
    <t>Salvador</t>
  </si>
  <si>
    <t>M-2014-04</t>
  </si>
  <si>
    <t>Arena Pantanal</t>
  </si>
  <si>
    <t>Cuiabá</t>
  </si>
  <si>
    <t>M-2014-05</t>
  </si>
  <si>
    <t>Colombia</t>
  </si>
  <si>
    <t>Estádio Mineirão</t>
  </si>
  <si>
    <t>Belo Horizonte</t>
  </si>
  <si>
    <t>M-2014-06</t>
  </si>
  <si>
    <t>Estádio Castelão</t>
  </si>
  <si>
    <t>Fortaleza</t>
  </si>
  <si>
    <t>M-2014-07</t>
  </si>
  <si>
    <t>Arena da Amazônia</t>
  </si>
  <si>
    <t>Manaus</t>
  </si>
  <si>
    <t>M-2014-08</t>
  </si>
  <si>
    <t>22:00</t>
  </si>
  <si>
    <t>Arena Pernambuco</t>
  </si>
  <si>
    <t>Recife</t>
  </si>
  <si>
    <t>M-2014-09</t>
  </si>
  <si>
    <t>Estádio Nacional</t>
  </si>
  <si>
    <t>Brasília</t>
  </si>
  <si>
    <t>M-2014-10</t>
  </si>
  <si>
    <t>Estádio Beira-Rio</t>
  </si>
  <si>
    <t>Porto Alegre</t>
  </si>
  <si>
    <t>M-2014-11</t>
  </si>
  <si>
    <t>19:00</t>
  </si>
  <si>
    <t>Bosnia and Herzegovina</t>
  </si>
  <si>
    <t>Estádio do Maracanã</t>
  </si>
  <si>
    <t>Rio de Janeiro</t>
  </si>
  <si>
    <t>M-2014-12</t>
  </si>
  <si>
    <t>M-2014-13</t>
  </si>
  <si>
    <t>Arena da Baixada</t>
  </si>
  <si>
    <t>Curitiba</t>
  </si>
  <si>
    <t>M-2014-14</t>
  </si>
  <si>
    <t>M-2014-15</t>
  </si>
  <si>
    <t>Belgium</t>
  </si>
  <si>
    <t>M-2014-16</t>
  </si>
  <si>
    <t>M-2014-17</t>
  </si>
  <si>
    <t>Russia</t>
  </si>
  <si>
    <t>M-2014-18</t>
  </si>
  <si>
    <t>M-2014-19</t>
  </si>
  <si>
    <t>M-2014-20</t>
  </si>
  <si>
    <t>M-2014-21</t>
  </si>
  <si>
    <t>M-2014-22</t>
  </si>
  <si>
    <t>M-2014-23</t>
  </si>
  <si>
    <t>M-2014-24</t>
  </si>
  <si>
    <t>M-2014-25</t>
  </si>
  <si>
    <t>2–5</t>
  </si>
  <si>
    <t>M-2014-26</t>
  </si>
  <si>
    <t>M-2014-27</t>
  </si>
  <si>
    <t>M-2014-28</t>
  </si>
  <si>
    <t>M-2014-29</t>
  </si>
  <si>
    <t>M-2014-30</t>
  </si>
  <si>
    <t>M-2014-31</t>
  </si>
  <si>
    <t>2–4</t>
  </si>
  <si>
    <t>M-2014-32</t>
  </si>
  <si>
    <t>M-2014-33</t>
  </si>
  <si>
    <t>M-2014-34</t>
  </si>
  <si>
    <t>M-2014-35</t>
  </si>
  <si>
    <t>M-2014-36</t>
  </si>
  <si>
    <t>M-2014-37</t>
  </si>
  <si>
    <t>M-2014-38</t>
  </si>
  <si>
    <t>M-2014-39</t>
  </si>
  <si>
    <t>M-2014-40</t>
  </si>
  <si>
    <t>M-2014-41</t>
  </si>
  <si>
    <t>M-2014-42</t>
  </si>
  <si>
    <t>M-2014-43</t>
  </si>
  <si>
    <t>M-2014-44</t>
  </si>
  <si>
    <t>M-2014-45</t>
  </si>
  <si>
    <t>M-2014-46</t>
  </si>
  <si>
    <t>M-2014-47</t>
  </si>
  <si>
    <t>M-2014-48</t>
  </si>
  <si>
    <t>M-2014-49</t>
  </si>
  <si>
    <t>M-2014-50</t>
  </si>
  <si>
    <t>M-2014-51</t>
  </si>
  <si>
    <t>M-2014-52</t>
  </si>
  <si>
    <t>M-2014-53</t>
  </si>
  <si>
    <t>M-2014-54</t>
  </si>
  <si>
    <t>M-2014-55</t>
  </si>
  <si>
    <t>M-2014-56</t>
  </si>
  <si>
    <t>M-2014-57</t>
  </si>
  <si>
    <t>M-2014-58</t>
  </si>
  <si>
    <t>M-2014-59</t>
  </si>
  <si>
    <t>M-2014-60</t>
  </si>
  <si>
    <t>4–3</t>
  </si>
  <si>
    <t>M-2014-61</t>
  </si>
  <si>
    <t>1–7</t>
  </si>
  <si>
    <t>M-2014-62</t>
  </si>
  <si>
    <t>M-2014-63</t>
  </si>
  <si>
    <t>M-2014-64</t>
  </si>
  <si>
    <t>2018 FIFA Men's World Cup</t>
  </si>
  <si>
    <t>M-2018-01</t>
  </si>
  <si>
    <t>5–0</t>
  </si>
  <si>
    <t>Luzhniki Stadium</t>
  </si>
  <si>
    <t>Moscow</t>
  </si>
  <si>
    <t>https://footystats.org/c-dl.php?comp=1425&amp;type=matches</t>
  </si>
  <si>
    <t>M-2018-02</t>
  </si>
  <si>
    <t>Egypt</t>
  </si>
  <si>
    <t>Central Stadium</t>
  </si>
  <si>
    <t>Yekaterinburg</t>
  </si>
  <si>
    <t>M-2018-03</t>
  </si>
  <si>
    <t>Morocco</t>
  </si>
  <si>
    <t>Krestovsky Stadium</t>
  </si>
  <si>
    <t>Saint Petersburg</t>
  </si>
  <si>
    <t>M-2018-04</t>
  </si>
  <si>
    <t>3–3</t>
  </si>
  <si>
    <t>Fisht Olympic Stadium</t>
  </si>
  <si>
    <t>Sochi</t>
  </si>
  <si>
    <t>M-2018-05</t>
  </si>
  <si>
    <t>Kazan Arena</t>
  </si>
  <si>
    <t>Kazan</t>
  </si>
  <si>
    <t>M-2018-06</t>
  </si>
  <si>
    <t>Iceland</t>
  </si>
  <si>
    <t>Otkritie Arena</t>
  </si>
  <si>
    <t>M-2018-07</t>
  </si>
  <si>
    <t>Peru</t>
  </si>
  <si>
    <t>Mordovia Arena</t>
  </si>
  <si>
    <t>Saransk</t>
  </si>
  <si>
    <t>M-2018-08</t>
  </si>
  <si>
    <t>Kaliningrad Stadium</t>
  </si>
  <si>
    <t>Kaliningrad</t>
  </si>
  <si>
    <t>M-2018-09</t>
  </si>
  <si>
    <t>Samara Arena</t>
  </si>
  <si>
    <t>Samara</t>
  </si>
  <si>
    <t>M-2018-10</t>
  </si>
  <si>
    <t>M-2018-11</t>
  </si>
  <si>
    <t>Rostov Arena</t>
  </si>
  <si>
    <t>Rostov-on-Don</t>
  </si>
  <si>
    <t>M-2018-12</t>
  </si>
  <si>
    <t>Nizhny Novgorod Stadium</t>
  </si>
  <si>
    <t>Nizhny Novgorod</t>
  </si>
  <si>
    <t>M-2018-13</t>
  </si>
  <si>
    <t>Panama</t>
  </si>
  <si>
    <t>M-2018-14</t>
  </si>
  <si>
    <t>Volgograd Arena</t>
  </si>
  <si>
    <t>Volgograd</t>
  </si>
  <si>
    <t>M-2018-15</t>
  </si>
  <si>
    <t>M-2018-16</t>
  </si>
  <si>
    <t>Senegal</t>
  </si>
  <si>
    <t>M-2018-17</t>
  </si>
  <si>
    <t>M-2018-18</t>
  </si>
  <si>
    <t>M-2018-19</t>
  </si>
  <si>
    <t>M-2018-20</t>
  </si>
  <si>
    <t>M-2018-21</t>
  </si>
  <si>
    <t>M-2018-22</t>
  </si>
  <si>
    <t>M-2018-23</t>
  </si>
  <si>
    <t>M-2018-24</t>
  </si>
  <si>
    <t>M-2018-25</t>
  </si>
  <si>
    <t>M-2018-26</t>
  </si>
  <si>
    <t>M-2018-27</t>
  </si>
  <si>
    <t>5–2</t>
  </si>
  <si>
    <t>M-2018-28</t>
  </si>
  <si>
    <t>M-2018-29</t>
  </si>
  <si>
    <t>M-2018-30</t>
  </si>
  <si>
    <t>6–1</t>
  </si>
  <si>
    <t>M-2018-31</t>
  </si>
  <si>
    <t>M-2018-32</t>
  </si>
  <si>
    <t>M-2018-33</t>
  </si>
  <si>
    <t>M-2018-34</t>
  </si>
  <si>
    <t>M-2018-35</t>
  </si>
  <si>
    <t>M-2018-36</t>
  </si>
  <si>
    <t>M-2018-37</t>
  </si>
  <si>
    <t>M-2018-38</t>
  </si>
  <si>
    <t>M-2018-39</t>
  </si>
  <si>
    <t>M-2018-40</t>
  </si>
  <si>
    <t>M-2018-41</t>
  </si>
  <si>
    <t>M-2018-42</t>
  </si>
  <si>
    <t>M-2018-43</t>
  </si>
  <si>
    <t>M-2018-44</t>
  </si>
  <si>
    <t>M-2018-45</t>
  </si>
  <si>
    <t>M-2018-46</t>
  </si>
  <si>
    <t>M-2018-47</t>
  </si>
  <si>
    <t>M-2018-48</t>
  </si>
  <si>
    <t>M-2018-49</t>
  </si>
  <si>
    <t>M-2018-50</t>
  </si>
  <si>
    <t>M-2018-51</t>
  </si>
  <si>
    <t>3–4</t>
  </si>
  <si>
    <t>M-2018-52</t>
  </si>
  <si>
    <t>M-2018-53</t>
  </si>
  <si>
    <t>M-2018-54</t>
  </si>
  <si>
    <t>M-2018-55</t>
  </si>
  <si>
    <t>M-2018-56</t>
  </si>
  <si>
    <t>M-2018-57</t>
  </si>
  <si>
    <t>M-2018-58</t>
  </si>
  <si>
    <t>M-2018-59</t>
  </si>
  <si>
    <t>M-2018-60</t>
  </si>
  <si>
    <t>M-2018-61</t>
  </si>
  <si>
    <t>M-2018-62</t>
  </si>
  <si>
    <t>M-2018-63</t>
  </si>
  <si>
    <t>M-2018-64</t>
  </si>
  <si>
    <t>2022 FIFA Men's World Cup</t>
  </si>
  <si>
    <t>M-2022-01</t>
  </si>
  <si>
    <t>Qatar</t>
  </si>
  <si>
    <t>Al Bayt Stadium</t>
  </si>
  <si>
    <t>Al Khor</t>
  </si>
  <si>
    <t>https://footystats.org/c-dl.php?comp=7432&amp;type=matches</t>
  </si>
  <si>
    <t>M-2022-02</t>
  </si>
  <si>
    <t>6–2</t>
  </si>
  <si>
    <t>Khalifa International Stadium</t>
  </si>
  <si>
    <t>Al Rayyan</t>
  </si>
  <si>
    <t>M-2022-03</t>
  </si>
  <si>
    <t>Al Thumama Stadium</t>
  </si>
  <si>
    <t>Doha</t>
  </si>
  <si>
    <t>M-2022-04</t>
  </si>
  <si>
    <t>Wales</t>
  </si>
  <si>
    <t>Ahmad bin Ali Stadium</t>
  </si>
  <si>
    <t>M-2022-05</t>
  </si>
  <si>
    <t>Lusail Stadium</t>
  </si>
  <si>
    <t>Lusail</t>
  </si>
  <si>
    <t>M-2022-06</t>
  </si>
  <si>
    <t>Education City Stadium</t>
  </si>
  <si>
    <t>M-2022-07</t>
  </si>
  <si>
    <t>Stadium 974</t>
  </si>
  <si>
    <t>M-2022-08</t>
  </si>
  <si>
    <t>Al Janoub Stadium</t>
  </si>
  <si>
    <t>Al Wakrah</t>
  </si>
  <si>
    <t>M-2022-09</t>
  </si>
  <si>
    <t>M-2022-10</t>
  </si>
  <si>
    <t>M-2022-11</t>
  </si>
  <si>
    <t>M-2022-12</t>
  </si>
  <si>
    <t>Canada</t>
  </si>
  <si>
    <t>M-2022-13</t>
  </si>
  <si>
    <t>M-2022-14</t>
  </si>
  <si>
    <t>M-2022-15</t>
  </si>
  <si>
    <t>M-2022-16</t>
  </si>
  <si>
    <t>M-2022-17</t>
  </si>
  <si>
    <t>M-2022-18</t>
  </si>
  <si>
    <t>M-2022-19</t>
  </si>
  <si>
    <t>M-2022-20</t>
  </si>
  <si>
    <t>M-2022-21</t>
  </si>
  <si>
    <t>M-2022-22</t>
  </si>
  <si>
    <t>M-2022-23</t>
  </si>
  <si>
    <t>M-2022-24</t>
  </si>
  <si>
    <t>M-2022-25</t>
  </si>
  <si>
    <t>M-2022-26</t>
  </si>
  <si>
    <t>M-2022-27</t>
  </si>
  <si>
    <t>M-2022-28</t>
  </si>
  <si>
    <t>M-2022-29</t>
  </si>
  <si>
    <t>M-2022-30</t>
  </si>
  <si>
    <t>M-2022-31</t>
  </si>
  <si>
    <t>M-2022-32</t>
  </si>
  <si>
    <t>M-2022-33</t>
  </si>
  <si>
    <t>M-2022-34</t>
  </si>
  <si>
    <t>M-2022-35</t>
  </si>
  <si>
    <t>M-2022-36</t>
  </si>
  <si>
    <t>M-2022-37</t>
  </si>
  <si>
    <t>M-2022-38</t>
  </si>
  <si>
    <t>M-2022-39</t>
  </si>
  <si>
    <t>M-2022-40</t>
  </si>
  <si>
    <t>M-2022-41</t>
  </si>
  <si>
    <t>M-2022-42</t>
  </si>
  <si>
    <t>M-2022-43</t>
  </si>
  <si>
    <t>M-2022-44</t>
  </si>
  <si>
    <t>M-2022-45</t>
  </si>
  <si>
    <t>M-2022-46</t>
  </si>
  <si>
    <t>M-2022-47</t>
  </si>
  <si>
    <t>M-2022-48</t>
  </si>
  <si>
    <t>M-2022-49</t>
  </si>
  <si>
    <t>M-2022-50</t>
  </si>
  <si>
    <t>M-2022-51</t>
  </si>
  <si>
    <t>M-2022-52</t>
  </si>
  <si>
    <t>M-2022-53</t>
  </si>
  <si>
    <t>M-2022-54</t>
  </si>
  <si>
    <t>M-2022-55</t>
  </si>
  <si>
    <t>M-2022-56</t>
  </si>
  <si>
    <t>M-2022-57</t>
  </si>
  <si>
    <t>M-2022-58</t>
  </si>
  <si>
    <t>M-2022-59</t>
  </si>
  <si>
    <t>M-2022-60</t>
  </si>
  <si>
    <t>M-2022-61</t>
  </si>
  <si>
    <t>M-2022-62</t>
  </si>
  <si>
    <t>M-2022-63</t>
  </si>
  <si>
    <t>M-2022-64</t>
  </si>
  <si>
    <t>competition_year</t>
  </si>
  <si>
    <t>FTHG</t>
  </si>
  <si>
    <t>FTAG</t>
  </si>
  <si>
    <t>FTR</t>
  </si>
  <si>
    <t>totalGoals</t>
  </si>
  <si>
    <t>over15</t>
  </si>
  <si>
    <t>over25</t>
  </si>
  <si>
    <t>over35</t>
  </si>
  <si>
    <t>under25</t>
  </si>
  <si>
    <t>under35</t>
  </si>
  <si>
    <t>bothTeamsScore</t>
  </si>
  <si>
    <t>doubleChance_1X</t>
  </si>
  <si>
    <t>doubleChance_12</t>
  </si>
  <si>
    <t>doubleChance_X2</t>
  </si>
  <si>
    <t>HC</t>
  </si>
  <si>
    <t>AC</t>
  </si>
  <si>
    <t>totalCorners</t>
  </si>
  <si>
    <t>corners_over85</t>
  </si>
  <si>
    <t>corners_over95</t>
  </si>
  <si>
    <t>HY</t>
  </si>
  <si>
    <t>AY</t>
  </si>
  <si>
    <t>HR</t>
  </si>
  <si>
    <t>AR</t>
  </si>
  <si>
    <t>totalCards</t>
  </si>
  <si>
    <t>cards_over35</t>
  </si>
  <si>
    <t>cards_over45</t>
  </si>
  <si>
    <t>cards_over55</t>
  </si>
  <si>
    <t>source_provider</t>
  </si>
  <si>
    <t>data_note</t>
  </si>
  <si>
    <t>Ano</t>
  </si>
  <si>
    <t>Media gols</t>
  </si>
  <si>
    <t>Total escanteios</t>
  </si>
  <si>
    <t>Media escanteios</t>
  </si>
  <si>
    <t>Total amarelos</t>
  </si>
  <si>
    <t>Total expulsoes</t>
  </si>
  <si>
    <t>Media cards modelo</t>
  </si>
  <si>
    <t>Coluna</t>
  </si>
  <si>
    <t>Aba</t>
  </si>
  <si>
    <t>Descricao</t>
  </si>
  <si>
    <t>FTHG / FTAG</t>
  </si>
  <si>
    <t>Labels_Modelo</t>
  </si>
  <si>
    <t>Gols do mandante/visitante no placar final da fonte, excluindo disputa de penaltis.</t>
  </si>
  <si>
    <t>Resultado derivado do placar: H, D ou A.</t>
  </si>
  <si>
    <t>official_winner</t>
  </si>
  <si>
    <t>Vencedor oficial segundo a base Fjelstul; em jogos decididos nos penaltis pode diferir de FTR.</t>
  </si>
  <si>
    <t>HC / AC</t>
  </si>
  <si>
    <t>Escanteios mandante/visitante. Vazio quando a fonte traz valor ausente.</t>
  </si>
  <si>
    <t>HY / AY</t>
  </si>
  <si>
    <t>Cartoes amarelos por equipe agregados de bookings.csv.</t>
  </si>
  <si>
    <t>HR / AR</t>
  </si>
  <si>
    <t>Expulsoes por equipe: vermelho direto ou segundo amarelo, via sending_off.</t>
  </si>
  <si>
    <t>HY + AY + HR + AR, coerente com o harness BetIntel.</t>
  </si>
  <si>
    <t>ok ou dados_insuficientes; 2006 fica insuficiente para escanteios por partida.</t>
  </si>
  <si>
    <t>ok nas cinco edicoes porque bookings.csv cobre os torneios.</t>
  </si>
  <si>
    <t>odds</t>
  </si>
  <si>
    <t>Todas</t>
  </si>
  <si>
    <t>Odds reais nao foram importadas para evitar uso como recomendacao financeira.</t>
  </si>
  <si>
    <t>Tipo</t>
  </si>
  <si>
    <t>Fonte</t>
  </si>
  <si>
    <t>URL</t>
  </si>
  <si>
    <t>Uso na planilha</t>
  </si>
  <si>
    <t>Licenca/observacao</t>
  </si>
  <si>
    <t>Resultados e metadados</t>
  </si>
  <si>
    <t>Fjelstul World Cup Database</t>
  </si>
  <si>
    <t>Partidas, placares, sede, fase, prorrogacao, penaltis e IDs de partida.</t>
  </si>
  <si>
    <t>Repositorio informa CC-BY-SA 4.0; manter atribuicao ao reutilizar.</t>
  </si>
  <si>
    <t>Resultados CSV</t>
  </si>
  <si>
    <t>matches.csv</t>
  </si>
  <si>
    <t>Fonte bruta baixada para resultados das Copas 2006-2022.</t>
  </si>
  <si>
    <t>Sem odds; dados historicos para uso academico.</t>
  </si>
  <si>
    <t>Cartoes CSV</t>
  </si>
  <si>
    <t>bookings.csv</t>
  </si>
  <si>
    <t>Cartoes amarelos, vermelhos diretos, segundo amarelo e expulsao por partida/equipe.</t>
  </si>
  <si>
    <t>TotalCards do modelo usa amarelos + expulsoes, alinhado a HY+AY+HR+AR.</t>
  </si>
  <si>
    <t>Escanteios e estatisticas</t>
  </si>
  <si>
    <t>FootyStats World Cup CSV</t>
  </si>
  <si>
    <t>Escanteios por equipe/partida, chutes e posse quando disponiveis.</t>
  </si>
  <si>
    <t>Odds do CSV foram ignoradas intencionalmente.</t>
  </si>
  <si>
    <t>Escanteios CSV direto</t>
  </si>
  <si>
    <t>FootyStats 2006</t>
  </si>
  <si>
    <t>CSV de partidas da Copa 2006.</t>
  </si>
  <si>
    <t>Escanteios aparecem como -1 em todas as partidas; marcados como dados_insuficientes.</t>
  </si>
  <si>
    <t>FootyStats 2010</t>
  </si>
  <si>
    <t>CSV de partidas da Copa 2010.</t>
  </si>
  <si>
    <t>Escanteios disponiveis por partida.</t>
  </si>
  <si>
    <t>FootyStats 2014</t>
  </si>
  <si>
    <t>CSV de partidas da Copa 2014.</t>
  </si>
  <si>
    <t>FootyStats 2018</t>
  </si>
  <si>
    <t>CSV de partidas da Copa 2018.</t>
  </si>
  <si>
    <t>FootyStats 2022</t>
  </si>
  <si>
    <t>CSV de partidas da Copa 2022.</t>
  </si>
  <si>
    <t>Google Search / paineis esportivos</t>
  </si>
  <si>
    <t>https://policies.google.com/terms</t>
  </si>
  <si>
    <t>Nao usado como dataset de treino.</t>
  </si>
  <si>
    <t>Google agrega dados de terceiros; raspagem automatizada nao e uma fonte reproduzivel/licenciada para treino.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</si>
</sst>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5">
    <font>
      <sz val="11"/>
      <name val="Carlito"/>
    </font>
    <font>
      <sz val="11"/>
      <color rgb="FF111827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>
      <x:extLst xmlns:x="http://schemas.openxmlformats.org/spreadsheetml/2006/main">
        <x:ext uri="{C7286773-470A-42A8-94C5-96B5CB345126}">
          <xfpb:xfComplement xmlns:xfpb="http://schemas.microsoft.com/office/spreadsheetml/2022/featurepropertybag" i="0"/>
        </x:ext>
      </x:extLst>
    </xf>
    <xf numFmtId="0" fontId="2" fillId="2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/>
    <xf numFmtId="3" fontId="1" fillId="0" borderId="0" xfId="0" applyNumberFormat="1" applyFont="1" applyFill="1" applyBorder="1"/>
    <xf numFmtId="165" fontId="1" fillId="0" borderId="0" xfId="0" applyNumberFormat="1" applyFont="1" applyFill="1" applyBorder="1"/>
    <xf numFmtId="2" fontId="1" fillId="0" borderId="0" xfId="0" applyNumberFormat="1" applyFont="1" applyFill="1" applyBorder="1"/>
    <xf numFmtId="0" fontId="4" fillId="0" borderId="0" xfId="0" applyNumberFormat="1" applyFont="1" applyFill="1" applyBorder="1"/>
    <xf numFmtId="0" fontId="2" fillId="3" borderId="0" xfId="0" applyNumberFormat="1" applyFont="1" applyFill="1" applyBorder="1"/>
    <xf numFmtId="0" fontId="3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c75e4c11a2f74cd5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PartidasTable" displayName="PartidasTable" ref="A1:AX321">
  <autoFilter ref="A1:AX321"/>
  <tableColumns count="50">
    <tableColumn id="1" name="tournament_year"/>
    <tableColumn id="2" name="tournament_name"/>
    <tableColumn id="3" name="match_id"/>
    <tableColumn id="4" name="stage"/>
    <tableColumn id="5" name="group_name"/>
    <tableColumn id="6" name="match_date"/>
    <tableColumn id="7" name="match_time"/>
    <tableColumn id="8" name="home_team"/>
    <tableColumn id="9" name="away_team"/>
    <tableColumn id="10" name="home_goals"/>
    <tableColumn id="11" name="away_goals"/>
    <tableColumn id="12" name="score"/>
    <tableColumn id="13" name="result_1x2"/>
    <tableColumn id="14" name="official_result"/>
    <tableColumn id="15" name="winner_team"/>
    <tableColumn id="16" name="winner_basis"/>
    <tableColumn id="17" name="extra_time"/>
    <tableColumn id="18" name="penalty_shootout"/>
    <tableColumn id="19" name="penalty_score"/>
    <tableColumn id="20" name="home_corners"/>
    <tableColumn id="21" name="away_corners"/>
    <tableColumn id="22" name="total_corners"/>
    <tableColumn id="23" name="corners_status"/>
    <tableColumn id="24" name="home_yellow_cards"/>
    <tableColumn id="25" name="away_yellow_cards"/>
    <tableColumn id="26" name="total_yellow_cards"/>
    <tableColumn id="27" name="home_straight_red_cards"/>
    <tableColumn id="28" name="away_straight_red_cards"/>
    <tableColumn id="29" name="total_straight_red_cards"/>
    <tableColumn id="30" name="home_second_yellow_cards"/>
    <tableColumn id="31" name="away_second_yellow_cards"/>
    <tableColumn id="32" name="total_second_yellow_cards"/>
    <tableColumn id="33" name="home_red_card_sendoffs"/>
    <tableColumn id="34" name="away_red_card_sendoffs"/>
    <tableColumn id="35" name="total_red_card_sendoffs"/>
    <tableColumn id="36" name="total_cards_model"/>
    <tableColumn id="37" name="cards_status"/>
    <tableColumn id="38" name="home_shots"/>
    <tableColumn id="39" name="away_shots"/>
    <tableColumn id="40" name="home_shots_on_target"/>
    <tableColumn id="41" name="away_shots_on_target"/>
    <tableColumn id="42" name="home_possession"/>
    <tableColumn id="43" name="away_possession"/>
    <tableColumn id="44" name="stadium"/>
    <tableColumn id="45" name="city"/>
    <tableColumn id="46" name="country"/>
    <tableColumn id="47" name="results_source"/>
    <tableColumn id="48" name="cards_source"/>
    <tableColumn id="49" name="corners_source"/>
    <tableColumn id="5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abelsModeloTable" displayName="LabelsModeloTable" ref="A1:AI321">
  <autoFilter ref="A1:AI321"/>
  <tableColumns count="35">
    <tableColumn id="1" name="match_id"/>
    <tableColumn id="2" name="match_date"/>
    <tableColumn id="3" name="competition_year"/>
    <tableColumn id="4" name="home_team"/>
    <tableColumn id="5" name="away_team"/>
    <tableColumn id="6" name="FTHG"/>
    <tableColumn id="7" name="FTAG"/>
    <tableColumn id="8" name="FTR"/>
    <tableColumn id="9" name="totalGoals"/>
    <tableColumn id="10" name="over15"/>
    <tableColumn id="11" name="over25"/>
    <tableColumn id="12" name="over35"/>
    <tableColumn id="13" name="under25"/>
    <tableColumn id="14" name="under35"/>
    <tableColumn id="15" name="bothTeamsScore"/>
    <tableColumn id="16" name="doubleChance_1X"/>
    <tableColumn id="17" name="doubleChance_12"/>
    <tableColumn id="18" name="doubleChance_X2"/>
    <tableColumn id="19" name="HC"/>
    <tableColumn id="20" name="AC"/>
    <tableColumn id="21" name="totalCorners"/>
    <tableColumn id="22" name="corners_over85"/>
    <tableColumn id="23" name="corners_over95"/>
    <tableColumn id="24" name="HY"/>
    <tableColumn id="25" name="AY"/>
    <tableColumn id="26" name="HR"/>
    <tableColumn id="27" name="AR"/>
    <tableColumn id="28" name="totalCards"/>
    <tableColumn id="29" name="cards_over35"/>
    <tableColumn id="30" name="cards_over45"/>
    <tableColumn id="31" name="cards_over55"/>
    <tableColumn id="32" name="corners_status"/>
    <tableColumn id="33" name="cards_status"/>
    <tableColumn id="34" name="source_provider"/>
    <tableColumn id="35" name="data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rEdicaoTable" displayName="PorEdicaoTable" ref="A1:N6">
  <autoFilter ref="A1:N6"/>
  <tableColumns count="14">
    <tableColumn id="1" name="Ano"/>
    <tableColumn id="2" name="Partidas"/>
    <tableColumn id="3" name="Gols"/>
    <tableColumn id="4" name="Media gols"/>
    <tableColumn id="5" name="H"/>
    <tableColumn id="6" name="D"/>
    <tableColumn id="7" name="A"/>
    <tableColumn id="8" name="Partidas com escanteios"/>
    <tableColumn id="9" name="Total escanteios"/>
    <tableColumn id="10" name="Media escanteios"/>
    <tableColumn id="11" name="Total amarelos"/>
    <tableColumn id="12" name="Total expulsoes"/>
    <tableColumn id="13" name="TotalCards modelo"/>
    <tableColumn id="14" name="Media cards model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cionarioTable" displayName="DicionarioTable" ref="A1:C11">
  <autoFilter ref="A1:C11"/>
  <tableColumns count="3">
    <tableColumn id="1" name="Coluna"/>
    <tableColumn id="2" name="Aba"/>
    <tableColumn id="3" name="Descri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ntesLimitacoesTable" displayName="FontesLimitacoesTable" ref="A1:E11">
  <autoFilter ref="A1:E11"/>
  <tableColumns count="5">
    <tableColumn id="1" name="Tipo"/>
    <tableColumn id="2" name="Fonte"/>
    <tableColumn id="3" name="URL"/>
    <tableColumn id="4" name="Uso na planilha"/>
    <tableColumn id="5" name="Licenca/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>
      <selection sqref="A1:B1"/>
    </sheetView>
  </sheetViews>
  <sheetFormatPr defaultRowHeight="14.25"/>
  <cols>
    <col min="1" max="1" width="32" customWidth="1"/>
    <col min="2" max="2" width="95" customWidth="1"/>
  </cols>
  <sheetData>
    <row r="1" spans="1:2" ht="18">
      <c r="A1" s="10" t="s">
        <v>0</v>
      </c>
      <c r="B1" s="10"/>
    </row>
    <row r="2" spans="1:2" ht="15">
      <c r="A2" s="8" t="s">
        <v>1</v>
      </c>
      <c r="B2" t="s">
        <v>2</v>
      </c>
    </row>
    <row r="3" spans="1:2" ht="15">
      <c r="A3" s="8" t="s">
        <v>3</v>
      </c>
      <c r="B3" t="s">
        <v>4</v>
      </c>
    </row>
    <row r="4" spans="1:2" ht="15">
      <c r="A4" s="8" t="s">
        <v>5</v>
      </c>
      <c r="B4" t="s">
        <v>6</v>
      </c>
    </row>
    <row r="5" spans="1:2" ht="15">
      <c r="A5" s="8" t="s">
        <v>7</v>
      </c>
      <c r="B5" t="s">
        <v>8</v>
      </c>
    </row>
    <row r="7" spans="1:2" ht="15">
      <c r="A7" s="9" t="s">
        <v>9</v>
      </c>
      <c r="B7" s="9" t="s">
        <v>10</v>
      </c>
    </row>
    <row r="8" spans="1:2">
      <c r="A8" t="s">
        <v>11</v>
      </c>
      <c r="B8">
        <f>SUM(Por_Edicao!B2:B6)</f>
        <v>320</v>
      </c>
    </row>
    <row r="9" spans="1:2">
      <c r="A9" t="s">
        <v>12</v>
      </c>
      <c r="B9">
        <f>SUM(Por_Edicao!H2:H6)</f>
        <v>256</v>
      </c>
    </row>
    <row r="10" spans="1:2">
      <c r="A10" t="s">
        <v>13</v>
      </c>
      <c r="B10">
        <f>B8-B9</f>
        <v>64</v>
      </c>
    </row>
    <row r="11" spans="1:2">
      <c r="A11" t="s">
        <v>14</v>
      </c>
      <c r="B11">
        <f>SUM(Por_Edicao!C2:C6)</f>
        <v>804</v>
      </c>
    </row>
    <row r="12" spans="1:2">
      <c r="A12" t="s">
        <v>15</v>
      </c>
      <c r="B12">
        <f>SUM(Por_Edicao!M2:M6)</f>
        <v>1272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21"/>
  <sheetViews>
    <sheetView showGridLines="0" workbookViewId="0"/>
  </sheetViews>
  <sheetFormatPr defaultRowHeight="14.25"/>
  <cols>
    <col min="1" max="1" width="12" customWidth="1"/>
    <col min="2" max="2" width="27" customWidth="1"/>
    <col min="3" max="3" width="12" customWidth="1"/>
    <col min="4" max="4" width="13.75" customWidth="1"/>
    <col min="5" max="5" width="12.75" customWidth="1"/>
    <col min="6" max="6" width="13" customWidth="1"/>
    <col min="7" max="7" width="12.25" customWidth="1"/>
    <col min="8" max="9" width="18" customWidth="1"/>
    <col min="10" max="10" width="12.25" customWidth="1"/>
    <col min="11" max="11" width="11.875" customWidth="1"/>
    <col min="12" max="12" width="7.125" customWidth="1"/>
    <col min="13" max="13" width="11" customWidth="1"/>
    <col min="14" max="15" width="18.375" customWidth="1"/>
    <col min="16" max="16" width="13.5" customWidth="1"/>
    <col min="17" max="17" width="11.375" customWidth="1"/>
    <col min="18" max="18" width="16.625" customWidth="1"/>
    <col min="19" max="19" width="13.75" customWidth="1"/>
    <col min="20" max="20" width="14" customWidth="1"/>
    <col min="21" max="21" width="13.625" customWidth="1"/>
    <col min="22" max="22" width="13.25" customWidth="1"/>
    <col min="23" max="23" width="15.25" customWidth="1"/>
    <col min="24" max="24" width="18.25" customWidth="1"/>
    <col min="25" max="25" width="17.875" customWidth="1"/>
    <col min="26" max="26" width="17.5" customWidth="1"/>
    <col min="27" max="27" width="22.5" customWidth="1"/>
    <col min="28" max="28" width="22.125" customWidth="1"/>
    <col min="29" max="29" width="21.75" customWidth="1"/>
    <col min="30" max="30" width="24.625" customWidth="1"/>
    <col min="31" max="31" width="24.125" customWidth="1"/>
    <col min="32" max="32" width="23.75" customWidth="1"/>
    <col min="33" max="33" width="22.375" customWidth="1"/>
    <col min="34" max="34" width="22" customWidth="1"/>
    <col min="35" max="35" width="21.625" customWidth="1"/>
    <col min="36" max="36" width="17.25" customWidth="1"/>
    <col min="37" max="37" width="12.5" customWidth="1"/>
    <col min="38" max="38" width="12.375" customWidth="1"/>
    <col min="39" max="39" width="12" customWidth="1"/>
    <col min="40" max="40" width="20.75" customWidth="1"/>
    <col min="41" max="41" width="20.375" customWidth="1"/>
    <col min="42" max="42" width="16.625" customWidth="1"/>
    <col min="43" max="43" width="16.25" customWidth="1"/>
    <col min="44" max="44" width="22.375" customWidth="1"/>
    <col min="45" max="45" width="13.375" customWidth="1"/>
    <col min="46" max="46" width="9.625" customWidth="1"/>
    <col min="47" max="50" width="55" customWidth="1"/>
  </cols>
  <sheetData>
    <row r="1" spans="1:50" ht="15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  <c r="AU1" s="3" t="s">
        <v>66</v>
      </c>
      <c r="AV1" s="3" t="s">
        <v>67</v>
      </c>
      <c r="AW1" s="3" t="s">
        <v>68</v>
      </c>
      <c r="AX1" s="3" t="s">
        <v>69</v>
      </c>
    </row>
    <row r="2" spans="1:50" ht="15" customHeight="1">
      <c r="A2" s="1">
        <v>2006</v>
      </c>
      <c r="B2" s="1" t="s">
        <v>70</v>
      </c>
      <c r="C2" s="1" t="s">
        <v>71</v>
      </c>
      <c r="D2" s="1" t="s">
        <v>72</v>
      </c>
      <c r="E2" s="1" t="s">
        <v>73</v>
      </c>
      <c r="F2" s="4">
        <v>38877</v>
      </c>
      <c r="G2" s="1" t="s">
        <v>74</v>
      </c>
      <c r="H2" s="1" t="s">
        <v>75</v>
      </c>
      <c r="I2" s="1" t="s">
        <v>76</v>
      </c>
      <c r="J2" s="5">
        <v>4</v>
      </c>
      <c r="K2" s="5">
        <v>2</v>
      </c>
      <c r="L2" s="1" t="s">
        <v>77</v>
      </c>
      <c r="M2" s="1" t="s">
        <v>78</v>
      </c>
      <c r="N2" s="1" t="s">
        <v>75</v>
      </c>
      <c r="O2" s="1" t="s">
        <v>75</v>
      </c>
      <c r="P2" s="1" t="s">
        <v>31</v>
      </c>
      <c r="Q2" s="2" t="b">
        <v>0</v>
      </c>
      <c r="R2" s="2" t="b">
        <v>0</v>
      </c>
      <c r="S2" s="1" t="s">
        <v>79</v>
      </c>
      <c r="T2" s="5"/>
      <c r="U2" s="5"/>
      <c r="V2" s="5"/>
      <c r="W2" s="1" t="s">
        <v>80</v>
      </c>
      <c r="X2" s="5">
        <v>0</v>
      </c>
      <c r="Y2" s="5">
        <v>1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1</v>
      </c>
      <c r="AK2" s="1" t="s">
        <v>81</v>
      </c>
      <c r="AL2" s="6">
        <v>-1</v>
      </c>
      <c r="AM2" s="6">
        <v>-1</v>
      </c>
      <c r="AN2" s="1">
        <v>-1</v>
      </c>
      <c r="AO2" s="1">
        <v>-1</v>
      </c>
      <c r="AP2" s="1">
        <v>-1</v>
      </c>
      <c r="AQ2" s="1">
        <v>-1</v>
      </c>
      <c r="AR2" s="1" t="s">
        <v>82</v>
      </c>
      <c r="AS2" s="1" t="s">
        <v>83</v>
      </c>
      <c r="AT2" s="1" t="s">
        <v>75</v>
      </c>
      <c r="AU2" s="1" t="s">
        <v>84</v>
      </c>
      <c r="AV2" s="1" t="s">
        <v>85</v>
      </c>
      <c r="AW2" s="1" t="s">
        <v>86</v>
      </c>
      <c r="AX2" s="1" t="s">
        <v>87</v>
      </c>
    </row>
    <row r="3" spans="1:50" ht="15" customHeight="1">
      <c r="A3" s="1">
        <v>2006</v>
      </c>
      <c r="B3" s="1" t="s">
        <v>70</v>
      </c>
      <c r="C3" s="1" t="s">
        <v>88</v>
      </c>
      <c r="D3" s="1" t="s">
        <v>72</v>
      </c>
      <c r="E3" s="1" t="s">
        <v>73</v>
      </c>
      <c r="F3" s="4">
        <v>38877</v>
      </c>
      <c r="G3" s="1" t="s">
        <v>89</v>
      </c>
      <c r="H3" s="1" t="s">
        <v>90</v>
      </c>
      <c r="I3" s="1" t="s">
        <v>91</v>
      </c>
      <c r="J3" s="5">
        <v>0</v>
      </c>
      <c r="K3" s="5">
        <v>2</v>
      </c>
      <c r="L3" s="1" t="s">
        <v>92</v>
      </c>
      <c r="M3" s="1" t="s">
        <v>93</v>
      </c>
      <c r="N3" s="1" t="s">
        <v>91</v>
      </c>
      <c r="O3" s="1" t="s">
        <v>91</v>
      </c>
      <c r="P3" s="1" t="s">
        <v>31</v>
      </c>
      <c r="Q3" s="2" t="b">
        <v>0</v>
      </c>
      <c r="R3" s="2" t="b">
        <v>0</v>
      </c>
      <c r="S3" s="1" t="s">
        <v>79</v>
      </c>
      <c r="T3" s="5"/>
      <c r="U3" s="5"/>
      <c r="V3" s="5"/>
      <c r="W3" s="1" t="s">
        <v>80</v>
      </c>
      <c r="X3" s="5">
        <v>1</v>
      </c>
      <c r="Y3" s="5">
        <v>2</v>
      </c>
      <c r="Z3" s="5">
        <v>3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3</v>
      </c>
      <c r="AK3" s="1" t="s">
        <v>81</v>
      </c>
      <c r="AL3" s="6">
        <v>-1</v>
      </c>
      <c r="AM3" s="6">
        <v>-1</v>
      </c>
      <c r="AN3" s="1">
        <v>-1</v>
      </c>
      <c r="AO3" s="1">
        <v>-1</v>
      </c>
      <c r="AP3" s="1">
        <v>-1</v>
      </c>
      <c r="AQ3" s="1">
        <v>-1</v>
      </c>
      <c r="AR3" s="1" t="s">
        <v>94</v>
      </c>
      <c r="AS3" s="1" t="s">
        <v>95</v>
      </c>
      <c r="AT3" s="1" t="s">
        <v>75</v>
      </c>
      <c r="AU3" s="1" t="s">
        <v>84</v>
      </c>
      <c r="AV3" s="1" t="s">
        <v>85</v>
      </c>
      <c r="AW3" s="1" t="s">
        <v>86</v>
      </c>
      <c r="AX3" s="1" t="s">
        <v>87</v>
      </c>
    </row>
    <row r="4" spans="1:50" ht="15" customHeight="1">
      <c r="A4" s="1">
        <v>2006</v>
      </c>
      <c r="B4" s="1" t="s">
        <v>70</v>
      </c>
      <c r="C4" s="1" t="s">
        <v>96</v>
      </c>
      <c r="D4" s="1" t="s">
        <v>72</v>
      </c>
      <c r="E4" s="1" t="s">
        <v>97</v>
      </c>
      <c r="F4" s="4">
        <v>38878</v>
      </c>
      <c r="G4" s="1" t="s">
        <v>98</v>
      </c>
      <c r="H4" s="1" t="s">
        <v>99</v>
      </c>
      <c r="I4" s="1" t="s">
        <v>100</v>
      </c>
      <c r="J4" s="5">
        <v>1</v>
      </c>
      <c r="K4" s="5">
        <v>0</v>
      </c>
      <c r="L4" s="1" t="s">
        <v>101</v>
      </c>
      <c r="M4" s="1" t="s">
        <v>78</v>
      </c>
      <c r="N4" s="1" t="s">
        <v>99</v>
      </c>
      <c r="O4" s="1" t="s">
        <v>99</v>
      </c>
      <c r="P4" s="1" t="s">
        <v>31</v>
      </c>
      <c r="Q4" s="2" t="b">
        <v>0</v>
      </c>
      <c r="R4" s="2" t="b">
        <v>0</v>
      </c>
      <c r="S4" s="1" t="s">
        <v>79</v>
      </c>
      <c r="T4" s="5"/>
      <c r="U4" s="5"/>
      <c r="V4" s="5"/>
      <c r="W4" s="1" t="s">
        <v>80</v>
      </c>
      <c r="X4" s="5">
        <v>2</v>
      </c>
      <c r="Y4" s="5">
        <v>1</v>
      </c>
      <c r="Z4" s="5">
        <v>3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3</v>
      </c>
      <c r="AK4" s="1" t="s">
        <v>81</v>
      </c>
      <c r="AL4" s="6">
        <v>-1</v>
      </c>
      <c r="AM4" s="6">
        <v>-1</v>
      </c>
      <c r="AN4" s="1">
        <v>-1</v>
      </c>
      <c r="AO4" s="1">
        <v>-1</v>
      </c>
      <c r="AP4" s="1">
        <v>-1</v>
      </c>
      <c r="AQ4" s="1">
        <v>-1</v>
      </c>
      <c r="AR4" s="1" t="s">
        <v>102</v>
      </c>
      <c r="AS4" s="1" t="s">
        <v>103</v>
      </c>
      <c r="AT4" s="1" t="s">
        <v>75</v>
      </c>
      <c r="AU4" s="1" t="s">
        <v>84</v>
      </c>
      <c r="AV4" s="1" t="s">
        <v>85</v>
      </c>
      <c r="AW4" s="1" t="s">
        <v>86</v>
      </c>
      <c r="AX4" s="1" t="s">
        <v>87</v>
      </c>
    </row>
    <row r="5" spans="1:50" ht="15" customHeight="1">
      <c r="A5" s="1">
        <v>2006</v>
      </c>
      <c r="B5" s="1" t="s">
        <v>70</v>
      </c>
      <c r="C5" s="1" t="s">
        <v>104</v>
      </c>
      <c r="D5" s="1" t="s">
        <v>72</v>
      </c>
      <c r="E5" s="1" t="s">
        <v>97</v>
      </c>
      <c r="F5" s="4">
        <v>38878</v>
      </c>
      <c r="G5" s="1" t="s">
        <v>74</v>
      </c>
      <c r="H5" s="1" t="s">
        <v>105</v>
      </c>
      <c r="I5" s="1" t="s">
        <v>106</v>
      </c>
      <c r="J5" s="5">
        <v>0</v>
      </c>
      <c r="K5" s="5">
        <v>0</v>
      </c>
      <c r="L5" s="1" t="s">
        <v>107</v>
      </c>
      <c r="M5" s="1" t="s">
        <v>108</v>
      </c>
      <c r="N5" s="1" t="s">
        <v>109</v>
      </c>
      <c r="O5" s="1"/>
      <c r="P5" s="1" t="s">
        <v>110</v>
      </c>
      <c r="Q5" s="2" t="b">
        <v>0</v>
      </c>
      <c r="R5" s="2" t="b">
        <v>0</v>
      </c>
      <c r="S5" s="1" t="s">
        <v>79</v>
      </c>
      <c r="T5" s="5"/>
      <c r="U5" s="5"/>
      <c r="V5" s="5"/>
      <c r="W5" s="1" t="s">
        <v>80</v>
      </c>
      <c r="X5" s="5">
        <v>2</v>
      </c>
      <c r="Y5" s="5">
        <v>1</v>
      </c>
      <c r="Z5" s="5">
        <v>3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1</v>
      </c>
      <c r="AG5" s="5">
        <v>1</v>
      </c>
      <c r="AH5" s="5">
        <v>0</v>
      </c>
      <c r="AI5" s="5">
        <v>1</v>
      </c>
      <c r="AJ5" s="5">
        <v>4</v>
      </c>
      <c r="AK5" s="1" t="s">
        <v>81</v>
      </c>
      <c r="AL5" s="6">
        <v>-1</v>
      </c>
      <c r="AM5" s="6">
        <v>-1</v>
      </c>
      <c r="AN5" s="1">
        <v>-1</v>
      </c>
      <c r="AO5" s="1">
        <v>-1</v>
      </c>
      <c r="AP5" s="1">
        <v>-1</v>
      </c>
      <c r="AQ5" s="1">
        <v>-1</v>
      </c>
      <c r="AR5" s="1" t="s">
        <v>111</v>
      </c>
      <c r="AS5" s="1" t="s">
        <v>112</v>
      </c>
      <c r="AT5" s="1" t="s">
        <v>75</v>
      </c>
      <c r="AU5" s="1" t="s">
        <v>84</v>
      </c>
      <c r="AV5" s="1" t="s">
        <v>85</v>
      </c>
      <c r="AW5" s="1" t="s">
        <v>86</v>
      </c>
      <c r="AX5" s="1" t="s">
        <v>87</v>
      </c>
    </row>
    <row r="6" spans="1:50" ht="15" customHeight="1">
      <c r="A6" s="1">
        <v>2006</v>
      </c>
      <c r="B6" s="1" t="s">
        <v>70</v>
      </c>
      <c r="C6" s="1" t="s">
        <v>113</v>
      </c>
      <c r="D6" s="1" t="s">
        <v>72</v>
      </c>
      <c r="E6" s="1" t="s">
        <v>114</v>
      </c>
      <c r="F6" s="4">
        <v>38878</v>
      </c>
      <c r="G6" s="1" t="s">
        <v>89</v>
      </c>
      <c r="H6" s="1" t="s">
        <v>115</v>
      </c>
      <c r="I6" s="1" t="s">
        <v>116</v>
      </c>
      <c r="J6" s="5">
        <v>2</v>
      </c>
      <c r="K6" s="5">
        <v>1</v>
      </c>
      <c r="L6" s="1" t="s">
        <v>117</v>
      </c>
      <c r="M6" s="1" t="s">
        <v>78</v>
      </c>
      <c r="N6" s="1" t="s">
        <v>115</v>
      </c>
      <c r="O6" s="1" t="s">
        <v>115</v>
      </c>
      <c r="P6" s="1" t="s">
        <v>31</v>
      </c>
      <c r="Q6" s="2" t="b">
        <v>0</v>
      </c>
      <c r="R6" s="2" t="b">
        <v>0</v>
      </c>
      <c r="S6" s="1" t="s">
        <v>79</v>
      </c>
      <c r="T6" s="5"/>
      <c r="U6" s="5"/>
      <c r="V6" s="5"/>
      <c r="W6" s="1" t="s">
        <v>80</v>
      </c>
      <c r="X6" s="5">
        <v>3</v>
      </c>
      <c r="Y6" s="5">
        <v>2</v>
      </c>
      <c r="Z6" s="5">
        <v>5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5</v>
      </c>
      <c r="AK6" s="1" t="s">
        <v>81</v>
      </c>
      <c r="AL6" s="6">
        <v>-1</v>
      </c>
      <c r="AM6" s="6">
        <v>-1</v>
      </c>
      <c r="AN6" s="1">
        <v>-1</v>
      </c>
      <c r="AO6" s="1">
        <v>-1</v>
      </c>
      <c r="AP6" s="1">
        <v>-1</v>
      </c>
      <c r="AQ6" s="1">
        <v>-1</v>
      </c>
      <c r="AR6" s="1" t="s">
        <v>118</v>
      </c>
      <c r="AS6" s="1" t="s">
        <v>119</v>
      </c>
      <c r="AT6" s="1" t="s">
        <v>75</v>
      </c>
      <c r="AU6" s="1" t="s">
        <v>84</v>
      </c>
      <c r="AV6" s="1" t="s">
        <v>85</v>
      </c>
      <c r="AW6" s="1" t="s">
        <v>86</v>
      </c>
      <c r="AX6" s="1" t="s">
        <v>87</v>
      </c>
    </row>
    <row r="7" spans="1:50" ht="15" customHeight="1">
      <c r="A7" s="1">
        <v>2006</v>
      </c>
      <c r="B7" s="1" t="s">
        <v>70</v>
      </c>
      <c r="C7" s="1" t="s">
        <v>120</v>
      </c>
      <c r="D7" s="1" t="s">
        <v>72</v>
      </c>
      <c r="E7" s="1" t="s">
        <v>114</v>
      </c>
      <c r="F7" s="4">
        <v>38879</v>
      </c>
      <c r="G7" s="1" t="s">
        <v>98</v>
      </c>
      <c r="H7" s="1" t="s">
        <v>121</v>
      </c>
      <c r="I7" s="1" t="s">
        <v>122</v>
      </c>
      <c r="J7" s="5">
        <v>0</v>
      </c>
      <c r="K7" s="5">
        <v>1</v>
      </c>
      <c r="L7" s="1" t="s">
        <v>123</v>
      </c>
      <c r="M7" s="1" t="s">
        <v>93</v>
      </c>
      <c r="N7" s="1" t="s">
        <v>122</v>
      </c>
      <c r="O7" s="1" t="s">
        <v>122</v>
      </c>
      <c r="P7" s="1" t="s">
        <v>31</v>
      </c>
      <c r="Q7" s="2" t="b">
        <v>0</v>
      </c>
      <c r="R7" s="2" t="b">
        <v>0</v>
      </c>
      <c r="S7" s="1" t="s">
        <v>79</v>
      </c>
      <c r="T7" s="5"/>
      <c r="U7" s="5"/>
      <c r="V7" s="5"/>
      <c r="W7" s="1" t="s">
        <v>80</v>
      </c>
      <c r="X7" s="5">
        <v>4</v>
      </c>
      <c r="Y7" s="5">
        <v>2</v>
      </c>
      <c r="Z7" s="5">
        <v>6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6</v>
      </c>
      <c r="AK7" s="1" t="s">
        <v>81</v>
      </c>
      <c r="AL7" s="6">
        <v>-1</v>
      </c>
      <c r="AM7" s="6">
        <v>-1</v>
      </c>
      <c r="AN7" s="1">
        <v>-1</v>
      </c>
      <c r="AO7" s="1">
        <v>-1</v>
      </c>
      <c r="AP7" s="1">
        <v>-1</v>
      </c>
      <c r="AQ7" s="1">
        <v>-1</v>
      </c>
      <c r="AR7" s="1" t="s">
        <v>124</v>
      </c>
      <c r="AS7" s="1" t="s">
        <v>125</v>
      </c>
      <c r="AT7" s="1" t="s">
        <v>75</v>
      </c>
      <c r="AU7" s="1" t="s">
        <v>84</v>
      </c>
      <c r="AV7" s="1" t="s">
        <v>85</v>
      </c>
      <c r="AW7" s="1" t="s">
        <v>86</v>
      </c>
      <c r="AX7" s="1" t="s">
        <v>87</v>
      </c>
    </row>
    <row r="8" spans="1:50" ht="15" customHeight="1">
      <c r="A8" s="1">
        <v>2006</v>
      </c>
      <c r="B8" s="1" t="s">
        <v>70</v>
      </c>
      <c r="C8" s="1" t="s">
        <v>126</v>
      </c>
      <c r="D8" s="1" t="s">
        <v>72</v>
      </c>
      <c r="E8" s="1" t="s">
        <v>127</v>
      </c>
      <c r="F8" s="4">
        <v>38879</v>
      </c>
      <c r="G8" s="1" t="s">
        <v>74</v>
      </c>
      <c r="H8" s="1" t="s">
        <v>128</v>
      </c>
      <c r="I8" s="1" t="s">
        <v>129</v>
      </c>
      <c r="J8" s="5">
        <v>3</v>
      </c>
      <c r="K8" s="5">
        <v>1</v>
      </c>
      <c r="L8" s="1" t="s">
        <v>130</v>
      </c>
      <c r="M8" s="1" t="s">
        <v>78</v>
      </c>
      <c r="N8" s="1" t="s">
        <v>128</v>
      </c>
      <c r="O8" s="1" t="s">
        <v>128</v>
      </c>
      <c r="P8" s="1" t="s">
        <v>31</v>
      </c>
      <c r="Q8" s="2" t="b">
        <v>0</v>
      </c>
      <c r="R8" s="2" t="b">
        <v>0</v>
      </c>
      <c r="S8" s="1" t="s">
        <v>79</v>
      </c>
      <c r="T8" s="5"/>
      <c r="U8" s="5"/>
      <c r="V8" s="5"/>
      <c r="W8" s="1" t="s">
        <v>80</v>
      </c>
      <c r="X8" s="5">
        <v>2</v>
      </c>
      <c r="Y8" s="5">
        <v>1</v>
      </c>
      <c r="Z8" s="5">
        <v>3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3</v>
      </c>
      <c r="AK8" s="1" t="s">
        <v>81</v>
      </c>
      <c r="AL8" s="6">
        <v>-1</v>
      </c>
      <c r="AM8" s="6">
        <v>-1</v>
      </c>
      <c r="AN8" s="1">
        <v>-1</v>
      </c>
      <c r="AO8" s="1">
        <v>-1</v>
      </c>
      <c r="AP8" s="1">
        <v>-1</v>
      </c>
      <c r="AQ8" s="1">
        <v>-1</v>
      </c>
      <c r="AR8" s="1" t="s">
        <v>131</v>
      </c>
      <c r="AS8" s="1" t="s">
        <v>132</v>
      </c>
      <c r="AT8" s="1" t="s">
        <v>75</v>
      </c>
      <c r="AU8" s="1" t="s">
        <v>84</v>
      </c>
      <c r="AV8" s="1" t="s">
        <v>85</v>
      </c>
      <c r="AW8" s="1" t="s">
        <v>86</v>
      </c>
      <c r="AX8" s="1" t="s">
        <v>87</v>
      </c>
    </row>
    <row r="9" spans="1:50" ht="15" customHeight="1">
      <c r="A9" s="1">
        <v>2006</v>
      </c>
      <c r="B9" s="1" t="s">
        <v>70</v>
      </c>
      <c r="C9" s="1" t="s">
        <v>133</v>
      </c>
      <c r="D9" s="1" t="s">
        <v>72</v>
      </c>
      <c r="E9" s="1" t="s">
        <v>127</v>
      </c>
      <c r="F9" s="4">
        <v>38879</v>
      </c>
      <c r="G9" s="1" t="s">
        <v>89</v>
      </c>
      <c r="H9" s="1" t="s">
        <v>134</v>
      </c>
      <c r="I9" s="1" t="s">
        <v>135</v>
      </c>
      <c r="J9" s="5">
        <v>0</v>
      </c>
      <c r="K9" s="5">
        <v>1</v>
      </c>
      <c r="L9" s="1" t="s">
        <v>123</v>
      </c>
      <c r="M9" s="1" t="s">
        <v>93</v>
      </c>
      <c r="N9" s="1" t="s">
        <v>135</v>
      </c>
      <c r="O9" s="1" t="s">
        <v>135</v>
      </c>
      <c r="P9" s="1" t="s">
        <v>31</v>
      </c>
      <c r="Q9" s="2" t="b">
        <v>0</v>
      </c>
      <c r="R9" s="2" t="b">
        <v>0</v>
      </c>
      <c r="S9" s="1" t="s">
        <v>79</v>
      </c>
      <c r="T9" s="5"/>
      <c r="U9" s="5"/>
      <c r="V9" s="5"/>
      <c r="W9" s="1" t="s">
        <v>80</v>
      </c>
      <c r="X9" s="5">
        <v>3</v>
      </c>
      <c r="Y9" s="5">
        <v>2</v>
      </c>
      <c r="Z9" s="5">
        <v>5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5</v>
      </c>
      <c r="AK9" s="1" t="s">
        <v>81</v>
      </c>
      <c r="AL9" s="6">
        <v>-1</v>
      </c>
      <c r="AM9" s="6">
        <v>-1</v>
      </c>
      <c r="AN9" s="1">
        <v>-1</v>
      </c>
      <c r="AO9" s="1">
        <v>-1</v>
      </c>
      <c r="AP9" s="1">
        <v>-1</v>
      </c>
      <c r="AQ9" s="1">
        <v>-1</v>
      </c>
      <c r="AR9" s="1" t="s">
        <v>136</v>
      </c>
      <c r="AS9" s="1" t="s">
        <v>137</v>
      </c>
      <c r="AT9" s="1" t="s">
        <v>75</v>
      </c>
      <c r="AU9" s="1" t="s">
        <v>84</v>
      </c>
      <c r="AV9" s="1" t="s">
        <v>85</v>
      </c>
      <c r="AW9" s="1" t="s">
        <v>86</v>
      </c>
      <c r="AX9" s="1" t="s">
        <v>87</v>
      </c>
    </row>
    <row r="10" spans="1:50" ht="15" customHeight="1">
      <c r="A10" s="1">
        <v>2006</v>
      </c>
      <c r="B10" s="1" t="s">
        <v>70</v>
      </c>
      <c r="C10" s="1" t="s">
        <v>138</v>
      </c>
      <c r="D10" s="1" t="s">
        <v>72</v>
      </c>
      <c r="E10" s="1" t="s">
        <v>139</v>
      </c>
      <c r="F10" s="4">
        <v>38880</v>
      </c>
      <c r="G10" s="1" t="s">
        <v>98</v>
      </c>
      <c r="H10" s="1" t="s">
        <v>140</v>
      </c>
      <c r="I10" s="1" t="s">
        <v>141</v>
      </c>
      <c r="J10" s="5">
        <v>3</v>
      </c>
      <c r="K10" s="5">
        <v>1</v>
      </c>
      <c r="L10" s="1" t="s">
        <v>130</v>
      </c>
      <c r="M10" s="1" t="s">
        <v>78</v>
      </c>
      <c r="N10" s="1" t="s">
        <v>140</v>
      </c>
      <c r="O10" s="1" t="s">
        <v>140</v>
      </c>
      <c r="P10" s="1" t="s">
        <v>31</v>
      </c>
      <c r="Q10" s="2" t="b">
        <v>0</v>
      </c>
      <c r="R10" s="2" t="b">
        <v>0</v>
      </c>
      <c r="S10" s="1" t="s">
        <v>79</v>
      </c>
      <c r="T10" s="5"/>
      <c r="U10" s="5"/>
      <c r="V10" s="5"/>
      <c r="W10" s="1" t="s">
        <v>80</v>
      </c>
      <c r="X10" s="5">
        <v>4</v>
      </c>
      <c r="Y10" s="5">
        <v>3</v>
      </c>
      <c r="Z10" s="5">
        <v>7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7</v>
      </c>
      <c r="AK10" s="1" t="s">
        <v>81</v>
      </c>
      <c r="AL10" s="6">
        <v>-1</v>
      </c>
      <c r="AM10" s="6">
        <v>-1</v>
      </c>
      <c r="AN10" s="1">
        <v>-1</v>
      </c>
      <c r="AO10" s="1">
        <v>-1</v>
      </c>
      <c r="AP10" s="1">
        <v>-1</v>
      </c>
      <c r="AQ10" s="1">
        <v>-1</v>
      </c>
      <c r="AR10" s="1" t="s">
        <v>142</v>
      </c>
      <c r="AS10" s="1" t="s">
        <v>143</v>
      </c>
      <c r="AT10" s="1" t="s">
        <v>75</v>
      </c>
      <c r="AU10" s="1" t="s">
        <v>84</v>
      </c>
      <c r="AV10" s="1" t="s">
        <v>85</v>
      </c>
      <c r="AW10" s="1" t="s">
        <v>86</v>
      </c>
      <c r="AX10" s="1" t="s">
        <v>87</v>
      </c>
    </row>
    <row r="11" spans="1:50" ht="15" customHeight="1">
      <c r="A11" s="1">
        <v>2006</v>
      </c>
      <c r="B11" s="1" t="s">
        <v>70</v>
      </c>
      <c r="C11" s="1" t="s">
        <v>144</v>
      </c>
      <c r="D11" s="1" t="s">
        <v>72</v>
      </c>
      <c r="E11" s="1" t="s">
        <v>145</v>
      </c>
      <c r="F11" s="4">
        <v>38880</v>
      </c>
      <c r="G11" s="1" t="s">
        <v>74</v>
      </c>
      <c r="H11" s="1" t="s">
        <v>146</v>
      </c>
      <c r="I11" s="1" t="s">
        <v>147</v>
      </c>
      <c r="J11" s="5">
        <v>0</v>
      </c>
      <c r="K11" s="5">
        <v>3</v>
      </c>
      <c r="L11" s="1" t="s">
        <v>148</v>
      </c>
      <c r="M11" s="1" t="s">
        <v>93</v>
      </c>
      <c r="N11" s="1" t="s">
        <v>147</v>
      </c>
      <c r="O11" s="1" t="s">
        <v>147</v>
      </c>
      <c r="P11" s="1" t="s">
        <v>31</v>
      </c>
      <c r="Q11" s="2" t="b">
        <v>0</v>
      </c>
      <c r="R11" s="2" t="b">
        <v>0</v>
      </c>
      <c r="S11" s="1" t="s">
        <v>79</v>
      </c>
      <c r="T11" s="5"/>
      <c r="U11" s="5"/>
      <c r="V11" s="5"/>
      <c r="W11" s="1" t="s">
        <v>80</v>
      </c>
      <c r="X11" s="5">
        <v>2</v>
      </c>
      <c r="Y11" s="5">
        <v>4</v>
      </c>
      <c r="Z11" s="5">
        <v>6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6</v>
      </c>
      <c r="AK11" s="1" t="s">
        <v>81</v>
      </c>
      <c r="AL11" s="6">
        <v>-1</v>
      </c>
      <c r="AM11" s="6">
        <v>-1</v>
      </c>
      <c r="AN11" s="1">
        <v>-1</v>
      </c>
      <c r="AO11" s="1">
        <v>-1</v>
      </c>
      <c r="AP11" s="1">
        <v>-1</v>
      </c>
      <c r="AQ11" s="1">
        <v>-1</v>
      </c>
      <c r="AR11" s="1" t="s">
        <v>94</v>
      </c>
      <c r="AS11" s="1" t="s">
        <v>95</v>
      </c>
      <c r="AT11" s="1" t="s">
        <v>75</v>
      </c>
      <c r="AU11" s="1" t="s">
        <v>84</v>
      </c>
      <c r="AV11" s="1" t="s">
        <v>85</v>
      </c>
      <c r="AW11" s="1" t="s">
        <v>86</v>
      </c>
      <c r="AX11" s="1" t="s">
        <v>87</v>
      </c>
    </row>
    <row r="12" spans="1:50" ht="15" customHeight="1">
      <c r="A12" s="1">
        <v>2006</v>
      </c>
      <c r="B12" s="1" t="s">
        <v>70</v>
      </c>
      <c r="C12" s="1" t="s">
        <v>149</v>
      </c>
      <c r="D12" s="1" t="s">
        <v>72</v>
      </c>
      <c r="E12" s="1" t="s">
        <v>145</v>
      </c>
      <c r="F12" s="4">
        <v>38880</v>
      </c>
      <c r="G12" s="1" t="s">
        <v>89</v>
      </c>
      <c r="H12" s="1" t="s">
        <v>150</v>
      </c>
      <c r="I12" s="1" t="s">
        <v>151</v>
      </c>
      <c r="J12" s="5">
        <v>2</v>
      </c>
      <c r="K12" s="5">
        <v>0</v>
      </c>
      <c r="L12" s="1" t="s">
        <v>152</v>
      </c>
      <c r="M12" s="1" t="s">
        <v>78</v>
      </c>
      <c r="N12" s="1" t="s">
        <v>150</v>
      </c>
      <c r="O12" s="1" t="s">
        <v>150</v>
      </c>
      <c r="P12" s="1" t="s">
        <v>31</v>
      </c>
      <c r="Q12" s="2" t="b">
        <v>0</v>
      </c>
      <c r="R12" s="2" t="b">
        <v>0</v>
      </c>
      <c r="S12" s="1" t="s">
        <v>79</v>
      </c>
      <c r="T12" s="5"/>
      <c r="U12" s="5"/>
      <c r="V12" s="5"/>
      <c r="W12" s="1" t="s">
        <v>80</v>
      </c>
      <c r="X12" s="5">
        <v>3</v>
      </c>
      <c r="Y12" s="5">
        <v>2</v>
      </c>
      <c r="Z12" s="5">
        <v>5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5</v>
      </c>
      <c r="AK12" s="1" t="s">
        <v>81</v>
      </c>
      <c r="AL12" s="6">
        <v>-1</v>
      </c>
      <c r="AM12" s="6">
        <v>-1</v>
      </c>
      <c r="AN12" s="1">
        <v>-1</v>
      </c>
      <c r="AO12" s="1">
        <v>-1</v>
      </c>
      <c r="AP12" s="1">
        <v>-1</v>
      </c>
      <c r="AQ12" s="1">
        <v>-1</v>
      </c>
      <c r="AR12" s="1" t="s">
        <v>153</v>
      </c>
      <c r="AS12" s="1" t="s">
        <v>154</v>
      </c>
      <c r="AT12" s="1" t="s">
        <v>75</v>
      </c>
      <c r="AU12" s="1" t="s">
        <v>84</v>
      </c>
      <c r="AV12" s="1" t="s">
        <v>85</v>
      </c>
      <c r="AW12" s="1" t="s">
        <v>86</v>
      </c>
      <c r="AX12" s="1" t="s">
        <v>87</v>
      </c>
    </row>
    <row r="13" spans="1:50" ht="15" customHeight="1">
      <c r="A13" s="1">
        <v>2006</v>
      </c>
      <c r="B13" s="1" t="s">
        <v>70</v>
      </c>
      <c r="C13" s="1" t="s">
        <v>155</v>
      </c>
      <c r="D13" s="1" t="s">
        <v>72</v>
      </c>
      <c r="E13" s="1" t="s">
        <v>156</v>
      </c>
      <c r="F13" s="4">
        <v>38881</v>
      </c>
      <c r="G13" s="1" t="s">
        <v>98</v>
      </c>
      <c r="H13" s="1" t="s">
        <v>157</v>
      </c>
      <c r="I13" s="1" t="s">
        <v>158</v>
      </c>
      <c r="J13" s="5">
        <v>2</v>
      </c>
      <c r="K13" s="5">
        <v>1</v>
      </c>
      <c r="L13" s="1" t="s">
        <v>117</v>
      </c>
      <c r="M13" s="1" t="s">
        <v>78</v>
      </c>
      <c r="N13" s="1" t="s">
        <v>157</v>
      </c>
      <c r="O13" s="1" t="s">
        <v>157</v>
      </c>
      <c r="P13" s="1" t="s">
        <v>31</v>
      </c>
      <c r="Q13" s="2" t="b">
        <v>0</v>
      </c>
      <c r="R13" s="2" t="b">
        <v>0</v>
      </c>
      <c r="S13" s="1" t="s">
        <v>79</v>
      </c>
      <c r="T13" s="5"/>
      <c r="U13" s="5"/>
      <c r="V13" s="5"/>
      <c r="W13" s="1" t="s">
        <v>80</v>
      </c>
      <c r="X13" s="5">
        <v>2</v>
      </c>
      <c r="Y13" s="5">
        <v>3</v>
      </c>
      <c r="Z13" s="5">
        <v>5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1</v>
      </c>
      <c r="AG13" s="5">
        <v>0</v>
      </c>
      <c r="AH13" s="5">
        <v>1</v>
      </c>
      <c r="AI13" s="5">
        <v>1</v>
      </c>
      <c r="AJ13" s="5">
        <v>6</v>
      </c>
      <c r="AK13" s="1" t="s">
        <v>81</v>
      </c>
      <c r="AL13" s="6">
        <v>-1</v>
      </c>
      <c r="AM13" s="6">
        <v>-1</v>
      </c>
      <c r="AN13" s="1">
        <v>-1</v>
      </c>
      <c r="AO13" s="1">
        <v>-1</v>
      </c>
      <c r="AP13" s="1">
        <v>-1</v>
      </c>
      <c r="AQ13" s="1">
        <v>-1</v>
      </c>
      <c r="AR13" s="1" t="s">
        <v>102</v>
      </c>
      <c r="AS13" s="1" t="s">
        <v>103</v>
      </c>
      <c r="AT13" s="1" t="s">
        <v>75</v>
      </c>
      <c r="AU13" s="1" t="s">
        <v>84</v>
      </c>
      <c r="AV13" s="1" t="s">
        <v>85</v>
      </c>
      <c r="AW13" s="1" t="s">
        <v>86</v>
      </c>
      <c r="AX13" s="1" t="s">
        <v>87</v>
      </c>
    </row>
    <row r="14" spans="1:50" ht="15" customHeight="1">
      <c r="A14" s="1">
        <v>2006</v>
      </c>
      <c r="B14" s="1" t="s">
        <v>70</v>
      </c>
      <c r="C14" s="1" t="s">
        <v>159</v>
      </c>
      <c r="D14" s="1" t="s">
        <v>72</v>
      </c>
      <c r="E14" s="1" t="s">
        <v>156</v>
      </c>
      <c r="F14" s="4">
        <v>38881</v>
      </c>
      <c r="G14" s="1" t="s">
        <v>74</v>
      </c>
      <c r="H14" s="1" t="s">
        <v>160</v>
      </c>
      <c r="I14" s="1" t="s">
        <v>161</v>
      </c>
      <c r="J14" s="5">
        <v>0</v>
      </c>
      <c r="K14" s="5">
        <v>0</v>
      </c>
      <c r="L14" s="1" t="s">
        <v>107</v>
      </c>
      <c r="M14" s="1" t="s">
        <v>108</v>
      </c>
      <c r="N14" s="1" t="s">
        <v>109</v>
      </c>
      <c r="O14" s="1"/>
      <c r="P14" s="1" t="s">
        <v>110</v>
      </c>
      <c r="Q14" s="2" t="b">
        <v>0</v>
      </c>
      <c r="R14" s="2" t="b">
        <v>0</v>
      </c>
      <c r="S14" s="1" t="s">
        <v>79</v>
      </c>
      <c r="T14" s="5"/>
      <c r="U14" s="5"/>
      <c r="V14" s="5"/>
      <c r="W14" s="1" t="s">
        <v>80</v>
      </c>
      <c r="X14" s="5">
        <v>3</v>
      </c>
      <c r="Y14" s="5">
        <v>5</v>
      </c>
      <c r="Z14" s="5">
        <v>8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8</v>
      </c>
      <c r="AK14" s="1" t="s">
        <v>81</v>
      </c>
      <c r="AL14" s="6">
        <v>-1</v>
      </c>
      <c r="AM14" s="6">
        <v>-1</v>
      </c>
      <c r="AN14" s="1">
        <v>-1</v>
      </c>
      <c r="AO14" s="1">
        <v>-1</v>
      </c>
      <c r="AP14" s="1">
        <v>-1</v>
      </c>
      <c r="AQ14" s="1">
        <v>-1</v>
      </c>
      <c r="AR14" s="1" t="s">
        <v>162</v>
      </c>
      <c r="AS14" s="1" t="s">
        <v>163</v>
      </c>
      <c r="AT14" s="1" t="s">
        <v>75</v>
      </c>
      <c r="AU14" s="1" t="s">
        <v>84</v>
      </c>
      <c r="AV14" s="1" t="s">
        <v>85</v>
      </c>
      <c r="AW14" s="1" t="s">
        <v>86</v>
      </c>
      <c r="AX14" s="1" t="s">
        <v>87</v>
      </c>
    </row>
    <row r="15" spans="1:50" ht="15" customHeight="1">
      <c r="A15" s="1">
        <v>2006</v>
      </c>
      <c r="B15" s="1" t="s">
        <v>70</v>
      </c>
      <c r="C15" s="1" t="s">
        <v>164</v>
      </c>
      <c r="D15" s="1" t="s">
        <v>72</v>
      </c>
      <c r="E15" s="1" t="s">
        <v>139</v>
      </c>
      <c r="F15" s="4">
        <v>38881</v>
      </c>
      <c r="G15" s="1" t="s">
        <v>89</v>
      </c>
      <c r="H15" s="1" t="s">
        <v>165</v>
      </c>
      <c r="I15" s="1" t="s">
        <v>166</v>
      </c>
      <c r="J15" s="5">
        <v>1</v>
      </c>
      <c r="K15" s="5">
        <v>0</v>
      </c>
      <c r="L15" s="1" t="s">
        <v>101</v>
      </c>
      <c r="M15" s="1" t="s">
        <v>78</v>
      </c>
      <c r="N15" s="1" t="s">
        <v>165</v>
      </c>
      <c r="O15" s="1" t="s">
        <v>165</v>
      </c>
      <c r="P15" s="1" t="s">
        <v>31</v>
      </c>
      <c r="Q15" s="2" t="b">
        <v>0</v>
      </c>
      <c r="R15" s="2" t="b">
        <v>0</v>
      </c>
      <c r="S15" s="1" t="s">
        <v>79</v>
      </c>
      <c r="T15" s="5"/>
      <c r="U15" s="5"/>
      <c r="V15" s="5"/>
      <c r="W15" s="1" t="s">
        <v>80</v>
      </c>
      <c r="X15" s="5">
        <v>1</v>
      </c>
      <c r="Y15" s="5">
        <v>3</v>
      </c>
      <c r="Z15" s="5">
        <v>4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4</v>
      </c>
      <c r="AK15" s="1" t="s">
        <v>81</v>
      </c>
      <c r="AL15" s="6">
        <v>-1</v>
      </c>
      <c r="AM15" s="6">
        <v>-1</v>
      </c>
      <c r="AN15" s="1">
        <v>-1</v>
      </c>
      <c r="AO15" s="1">
        <v>-1</v>
      </c>
      <c r="AP15" s="1">
        <v>-1</v>
      </c>
      <c r="AQ15" s="1">
        <v>-1</v>
      </c>
      <c r="AR15" s="1" t="s">
        <v>167</v>
      </c>
      <c r="AS15" s="1" t="s">
        <v>168</v>
      </c>
      <c r="AT15" s="1" t="s">
        <v>75</v>
      </c>
      <c r="AU15" s="1" t="s">
        <v>84</v>
      </c>
      <c r="AV15" s="1" t="s">
        <v>85</v>
      </c>
      <c r="AW15" s="1" t="s">
        <v>86</v>
      </c>
      <c r="AX15" s="1" t="s">
        <v>87</v>
      </c>
    </row>
    <row r="16" spans="1:50" ht="15" customHeight="1">
      <c r="A16" s="1">
        <v>2006</v>
      </c>
      <c r="B16" s="1" t="s">
        <v>70</v>
      </c>
      <c r="C16" s="1" t="s">
        <v>169</v>
      </c>
      <c r="D16" s="1" t="s">
        <v>72</v>
      </c>
      <c r="E16" s="1" t="s">
        <v>170</v>
      </c>
      <c r="F16" s="4">
        <v>38882</v>
      </c>
      <c r="G16" s="1" t="s">
        <v>98</v>
      </c>
      <c r="H16" s="1" t="s">
        <v>171</v>
      </c>
      <c r="I16" s="1" t="s">
        <v>172</v>
      </c>
      <c r="J16" s="5">
        <v>4</v>
      </c>
      <c r="K16" s="5">
        <v>0</v>
      </c>
      <c r="L16" s="1" t="s">
        <v>173</v>
      </c>
      <c r="M16" s="1" t="s">
        <v>78</v>
      </c>
      <c r="N16" s="1" t="s">
        <v>171</v>
      </c>
      <c r="O16" s="1" t="s">
        <v>171</v>
      </c>
      <c r="P16" s="1" t="s">
        <v>31</v>
      </c>
      <c r="Q16" s="2" t="b">
        <v>0</v>
      </c>
      <c r="R16" s="2" t="b">
        <v>0</v>
      </c>
      <c r="S16" s="1" t="s">
        <v>79</v>
      </c>
      <c r="T16" s="5"/>
      <c r="U16" s="5"/>
      <c r="V16" s="5"/>
      <c r="W16" s="1" t="s">
        <v>80</v>
      </c>
      <c r="X16" s="5">
        <v>0</v>
      </c>
      <c r="Y16" s="5">
        <v>2</v>
      </c>
      <c r="Z16" s="5">
        <v>2</v>
      </c>
      <c r="AA16" s="5">
        <v>0</v>
      </c>
      <c r="AB16" s="5">
        <v>1</v>
      </c>
      <c r="AC16" s="5">
        <v>1</v>
      </c>
      <c r="AD16" s="5">
        <v>0</v>
      </c>
      <c r="AE16" s="5">
        <v>0</v>
      </c>
      <c r="AF16" s="5">
        <v>0</v>
      </c>
      <c r="AG16" s="5">
        <v>0</v>
      </c>
      <c r="AH16" s="5">
        <v>1</v>
      </c>
      <c r="AI16" s="5">
        <v>1</v>
      </c>
      <c r="AJ16" s="5">
        <v>3</v>
      </c>
      <c r="AK16" s="1" t="s">
        <v>81</v>
      </c>
      <c r="AL16" s="6">
        <v>-1</v>
      </c>
      <c r="AM16" s="6">
        <v>-1</v>
      </c>
      <c r="AN16" s="1">
        <v>-1</v>
      </c>
      <c r="AO16" s="1">
        <v>-1</v>
      </c>
      <c r="AP16" s="1">
        <v>-1</v>
      </c>
      <c r="AQ16" s="1">
        <v>-1</v>
      </c>
      <c r="AR16" s="1" t="s">
        <v>124</v>
      </c>
      <c r="AS16" s="1" t="s">
        <v>125</v>
      </c>
      <c r="AT16" s="1" t="s">
        <v>75</v>
      </c>
      <c r="AU16" s="1" t="s">
        <v>84</v>
      </c>
      <c r="AV16" s="1" t="s">
        <v>85</v>
      </c>
      <c r="AW16" s="1" t="s">
        <v>86</v>
      </c>
      <c r="AX16" s="1" t="s">
        <v>87</v>
      </c>
    </row>
    <row r="17" spans="1:50" ht="15" customHeight="1">
      <c r="A17" s="1">
        <v>2006</v>
      </c>
      <c r="B17" s="1" t="s">
        <v>70</v>
      </c>
      <c r="C17" s="1" t="s">
        <v>174</v>
      </c>
      <c r="D17" s="1" t="s">
        <v>72</v>
      </c>
      <c r="E17" s="1" t="s">
        <v>170</v>
      </c>
      <c r="F17" s="4">
        <v>38882</v>
      </c>
      <c r="G17" s="1" t="s">
        <v>74</v>
      </c>
      <c r="H17" s="1" t="s">
        <v>175</v>
      </c>
      <c r="I17" s="1" t="s">
        <v>176</v>
      </c>
      <c r="J17" s="5">
        <v>2</v>
      </c>
      <c r="K17" s="5">
        <v>2</v>
      </c>
      <c r="L17" s="1" t="s">
        <v>177</v>
      </c>
      <c r="M17" s="1" t="s">
        <v>108</v>
      </c>
      <c r="N17" s="1" t="s">
        <v>109</v>
      </c>
      <c r="O17" s="1"/>
      <c r="P17" s="1" t="s">
        <v>110</v>
      </c>
      <c r="Q17" s="2" t="b">
        <v>0</v>
      </c>
      <c r="R17" s="2" t="b">
        <v>0</v>
      </c>
      <c r="S17" s="1" t="s">
        <v>79</v>
      </c>
      <c r="T17" s="5"/>
      <c r="U17" s="5"/>
      <c r="V17" s="5"/>
      <c r="W17" s="1" t="s">
        <v>80</v>
      </c>
      <c r="X17" s="5">
        <v>4</v>
      </c>
      <c r="Y17" s="5">
        <v>0</v>
      </c>
      <c r="Z17" s="5">
        <v>4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4</v>
      </c>
      <c r="AK17" s="1" t="s">
        <v>81</v>
      </c>
      <c r="AL17" s="6">
        <v>-1</v>
      </c>
      <c r="AM17" s="6">
        <v>-1</v>
      </c>
      <c r="AN17" s="1">
        <v>-1</v>
      </c>
      <c r="AO17" s="1">
        <v>-1</v>
      </c>
      <c r="AP17" s="1">
        <v>-1</v>
      </c>
      <c r="AQ17" s="1">
        <v>-1</v>
      </c>
      <c r="AR17" s="1" t="s">
        <v>82</v>
      </c>
      <c r="AS17" s="1" t="s">
        <v>83</v>
      </c>
      <c r="AT17" s="1" t="s">
        <v>75</v>
      </c>
      <c r="AU17" s="1" t="s">
        <v>84</v>
      </c>
      <c r="AV17" s="1" t="s">
        <v>85</v>
      </c>
      <c r="AW17" s="1" t="s">
        <v>86</v>
      </c>
      <c r="AX17" s="1" t="s">
        <v>87</v>
      </c>
    </row>
    <row r="18" spans="1:50" ht="15" customHeight="1">
      <c r="A18" s="1">
        <v>2006</v>
      </c>
      <c r="B18" s="1" t="s">
        <v>70</v>
      </c>
      <c r="C18" s="1" t="s">
        <v>178</v>
      </c>
      <c r="D18" s="1" t="s">
        <v>72</v>
      </c>
      <c r="E18" s="1" t="s">
        <v>73</v>
      </c>
      <c r="F18" s="4">
        <v>38882</v>
      </c>
      <c r="G18" s="1" t="s">
        <v>89</v>
      </c>
      <c r="H18" s="1" t="s">
        <v>75</v>
      </c>
      <c r="I18" s="1" t="s">
        <v>90</v>
      </c>
      <c r="J18" s="5">
        <v>1</v>
      </c>
      <c r="K18" s="5">
        <v>0</v>
      </c>
      <c r="L18" s="1" t="s">
        <v>101</v>
      </c>
      <c r="M18" s="1" t="s">
        <v>78</v>
      </c>
      <c r="N18" s="1" t="s">
        <v>75</v>
      </c>
      <c r="O18" s="1" t="s">
        <v>75</v>
      </c>
      <c r="P18" s="1" t="s">
        <v>31</v>
      </c>
      <c r="Q18" s="2" t="b">
        <v>0</v>
      </c>
      <c r="R18" s="2" t="b">
        <v>0</v>
      </c>
      <c r="S18" s="1" t="s">
        <v>79</v>
      </c>
      <c r="T18" s="5"/>
      <c r="U18" s="5"/>
      <c r="V18" s="5"/>
      <c r="W18" s="1" t="s">
        <v>80</v>
      </c>
      <c r="X18" s="5">
        <v>3</v>
      </c>
      <c r="Y18" s="5">
        <v>3</v>
      </c>
      <c r="Z18" s="5">
        <v>6</v>
      </c>
      <c r="AA18" s="5">
        <v>0</v>
      </c>
      <c r="AB18" s="5">
        <v>0</v>
      </c>
      <c r="AC18" s="5">
        <v>0</v>
      </c>
      <c r="AD18" s="5">
        <v>0</v>
      </c>
      <c r="AE18" s="5">
        <v>1</v>
      </c>
      <c r="AF18" s="5">
        <v>1</v>
      </c>
      <c r="AG18" s="5">
        <v>0</v>
      </c>
      <c r="AH18" s="5">
        <v>1</v>
      </c>
      <c r="AI18" s="5">
        <v>1</v>
      </c>
      <c r="AJ18" s="5">
        <v>7</v>
      </c>
      <c r="AK18" s="1" t="s">
        <v>81</v>
      </c>
      <c r="AL18" s="6">
        <v>-1</v>
      </c>
      <c r="AM18" s="6">
        <v>-1</v>
      </c>
      <c r="AN18" s="1">
        <v>-1</v>
      </c>
      <c r="AO18" s="1">
        <v>-1</v>
      </c>
      <c r="AP18" s="1">
        <v>-1</v>
      </c>
      <c r="AQ18" s="1">
        <v>-1</v>
      </c>
      <c r="AR18" s="1" t="s">
        <v>111</v>
      </c>
      <c r="AS18" s="1" t="s">
        <v>112</v>
      </c>
      <c r="AT18" s="1" t="s">
        <v>75</v>
      </c>
      <c r="AU18" s="1" t="s">
        <v>84</v>
      </c>
      <c r="AV18" s="1" t="s">
        <v>85</v>
      </c>
      <c r="AW18" s="1" t="s">
        <v>86</v>
      </c>
      <c r="AX18" s="1" t="s">
        <v>87</v>
      </c>
    </row>
    <row r="19" spans="1:50" ht="15" customHeight="1">
      <c r="A19" s="1">
        <v>2006</v>
      </c>
      <c r="B19" s="1" t="s">
        <v>70</v>
      </c>
      <c r="C19" s="1" t="s">
        <v>179</v>
      </c>
      <c r="D19" s="1" t="s">
        <v>72</v>
      </c>
      <c r="E19" s="1" t="s">
        <v>73</v>
      </c>
      <c r="F19" s="4">
        <v>38883</v>
      </c>
      <c r="G19" s="1" t="s">
        <v>98</v>
      </c>
      <c r="H19" s="1" t="s">
        <v>91</v>
      </c>
      <c r="I19" s="1" t="s">
        <v>76</v>
      </c>
      <c r="J19" s="5">
        <v>3</v>
      </c>
      <c r="K19" s="5">
        <v>0</v>
      </c>
      <c r="L19" s="1" t="s">
        <v>180</v>
      </c>
      <c r="M19" s="1" t="s">
        <v>78</v>
      </c>
      <c r="N19" s="1" t="s">
        <v>91</v>
      </c>
      <c r="O19" s="1" t="s">
        <v>91</v>
      </c>
      <c r="P19" s="1" t="s">
        <v>31</v>
      </c>
      <c r="Q19" s="2" t="b">
        <v>0</v>
      </c>
      <c r="R19" s="2" t="b">
        <v>0</v>
      </c>
      <c r="S19" s="1" t="s">
        <v>79</v>
      </c>
      <c r="T19" s="5"/>
      <c r="U19" s="5"/>
      <c r="V19" s="5"/>
      <c r="W19" s="1" t="s">
        <v>80</v>
      </c>
      <c r="X19" s="5">
        <v>3</v>
      </c>
      <c r="Y19" s="5">
        <v>2</v>
      </c>
      <c r="Z19" s="5">
        <v>5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5</v>
      </c>
      <c r="AK19" s="1" t="s">
        <v>81</v>
      </c>
      <c r="AL19" s="6">
        <v>-1</v>
      </c>
      <c r="AM19" s="6">
        <v>-1</v>
      </c>
      <c r="AN19" s="1">
        <v>-1</v>
      </c>
      <c r="AO19" s="1">
        <v>-1</v>
      </c>
      <c r="AP19" s="1">
        <v>-1</v>
      </c>
      <c r="AQ19" s="1">
        <v>-1</v>
      </c>
      <c r="AR19" s="1" t="s">
        <v>118</v>
      </c>
      <c r="AS19" s="1" t="s">
        <v>119</v>
      </c>
      <c r="AT19" s="1" t="s">
        <v>75</v>
      </c>
      <c r="AU19" s="1" t="s">
        <v>84</v>
      </c>
      <c r="AV19" s="1" t="s">
        <v>85</v>
      </c>
      <c r="AW19" s="1" t="s">
        <v>86</v>
      </c>
      <c r="AX19" s="1" t="s">
        <v>87</v>
      </c>
    </row>
    <row r="20" spans="1:50" ht="15" customHeight="1">
      <c r="A20" s="1">
        <v>2006</v>
      </c>
      <c r="B20" s="1" t="s">
        <v>70</v>
      </c>
      <c r="C20" s="1" t="s">
        <v>181</v>
      </c>
      <c r="D20" s="1" t="s">
        <v>72</v>
      </c>
      <c r="E20" s="1" t="s">
        <v>97</v>
      </c>
      <c r="F20" s="4">
        <v>38883</v>
      </c>
      <c r="G20" s="1" t="s">
        <v>74</v>
      </c>
      <c r="H20" s="1" t="s">
        <v>99</v>
      </c>
      <c r="I20" s="1" t="s">
        <v>105</v>
      </c>
      <c r="J20" s="5">
        <v>2</v>
      </c>
      <c r="K20" s="5">
        <v>0</v>
      </c>
      <c r="L20" s="1" t="s">
        <v>152</v>
      </c>
      <c r="M20" s="1" t="s">
        <v>78</v>
      </c>
      <c r="N20" s="1" t="s">
        <v>99</v>
      </c>
      <c r="O20" s="1" t="s">
        <v>99</v>
      </c>
      <c r="P20" s="1" t="s">
        <v>31</v>
      </c>
      <c r="Q20" s="2" t="b">
        <v>0</v>
      </c>
      <c r="R20" s="2" t="b">
        <v>0</v>
      </c>
      <c r="S20" s="1" t="s">
        <v>79</v>
      </c>
      <c r="T20" s="5"/>
      <c r="U20" s="5"/>
      <c r="V20" s="5"/>
      <c r="W20" s="1" t="s">
        <v>80</v>
      </c>
      <c r="X20" s="5">
        <v>1</v>
      </c>
      <c r="Y20" s="5">
        <v>5</v>
      </c>
      <c r="Z20" s="5">
        <v>6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6</v>
      </c>
      <c r="AK20" s="1" t="s">
        <v>81</v>
      </c>
      <c r="AL20" s="6">
        <v>-1</v>
      </c>
      <c r="AM20" s="6">
        <v>-1</v>
      </c>
      <c r="AN20" s="1">
        <v>-1</v>
      </c>
      <c r="AO20" s="1">
        <v>-1</v>
      </c>
      <c r="AP20" s="1">
        <v>-1</v>
      </c>
      <c r="AQ20" s="1">
        <v>-1</v>
      </c>
      <c r="AR20" s="1" t="s">
        <v>131</v>
      </c>
      <c r="AS20" s="1" t="s">
        <v>132</v>
      </c>
      <c r="AT20" s="1" t="s">
        <v>75</v>
      </c>
      <c r="AU20" s="1" t="s">
        <v>84</v>
      </c>
      <c r="AV20" s="1" t="s">
        <v>85</v>
      </c>
      <c r="AW20" s="1" t="s">
        <v>86</v>
      </c>
      <c r="AX20" s="1" t="s">
        <v>87</v>
      </c>
    </row>
    <row r="21" spans="1:50" ht="15" customHeight="1">
      <c r="A21" s="1">
        <v>2006</v>
      </c>
      <c r="B21" s="1" t="s">
        <v>70</v>
      </c>
      <c r="C21" s="1" t="s">
        <v>182</v>
      </c>
      <c r="D21" s="1" t="s">
        <v>72</v>
      </c>
      <c r="E21" s="1" t="s">
        <v>97</v>
      </c>
      <c r="F21" s="4">
        <v>38883</v>
      </c>
      <c r="G21" s="1" t="s">
        <v>89</v>
      </c>
      <c r="H21" s="1" t="s">
        <v>106</v>
      </c>
      <c r="I21" s="1" t="s">
        <v>100</v>
      </c>
      <c r="J21" s="5">
        <v>1</v>
      </c>
      <c r="K21" s="5">
        <v>0</v>
      </c>
      <c r="L21" s="1" t="s">
        <v>101</v>
      </c>
      <c r="M21" s="1" t="s">
        <v>78</v>
      </c>
      <c r="N21" s="1" t="s">
        <v>106</v>
      </c>
      <c r="O21" s="1" t="s">
        <v>106</v>
      </c>
      <c r="P21" s="1" t="s">
        <v>31</v>
      </c>
      <c r="Q21" s="2" t="b">
        <v>0</v>
      </c>
      <c r="R21" s="2" t="b">
        <v>0</v>
      </c>
      <c r="S21" s="1" t="s">
        <v>79</v>
      </c>
      <c r="T21" s="5"/>
      <c r="U21" s="5"/>
      <c r="V21" s="5"/>
      <c r="W21" s="1" t="s">
        <v>80</v>
      </c>
      <c r="X21" s="5">
        <v>3</v>
      </c>
      <c r="Y21" s="5">
        <v>5</v>
      </c>
      <c r="Z21" s="5">
        <v>8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8</v>
      </c>
      <c r="AK21" s="1" t="s">
        <v>81</v>
      </c>
      <c r="AL21" s="6">
        <v>-1</v>
      </c>
      <c r="AM21" s="6">
        <v>-1</v>
      </c>
      <c r="AN21" s="1">
        <v>-1</v>
      </c>
      <c r="AO21" s="1">
        <v>-1</v>
      </c>
      <c r="AP21" s="1">
        <v>-1</v>
      </c>
      <c r="AQ21" s="1">
        <v>-1</v>
      </c>
      <c r="AR21" s="1" t="s">
        <v>167</v>
      </c>
      <c r="AS21" s="1" t="s">
        <v>168</v>
      </c>
      <c r="AT21" s="1" t="s">
        <v>75</v>
      </c>
      <c r="AU21" s="1" t="s">
        <v>84</v>
      </c>
      <c r="AV21" s="1" t="s">
        <v>85</v>
      </c>
      <c r="AW21" s="1" t="s">
        <v>86</v>
      </c>
      <c r="AX21" s="1" t="s">
        <v>87</v>
      </c>
    </row>
    <row r="22" spans="1:50" ht="15" customHeight="1">
      <c r="A22" s="1">
        <v>2006</v>
      </c>
      <c r="B22" s="1" t="s">
        <v>70</v>
      </c>
      <c r="C22" s="1" t="s">
        <v>183</v>
      </c>
      <c r="D22" s="1" t="s">
        <v>72</v>
      </c>
      <c r="E22" s="1" t="s">
        <v>114</v>
      </c>
      <c r="F22" s="4">
        <v>38884</v>
      </c>
      <c r="G22" s="1" t="s">
        <v>98</v>
      </c>
      <c r="H22" s="1" t="s">
        <v>115</v>
      </c>
      <c r="I22" s="1" t="s">
        <v>121</v>
      </c>
      <c r="J22" s="5">
        <v>6</v>
      </c>
      <c r="K22" s="5">
        <v>0</v>
      </c>
      <c r="L22" s="1" t="s">
        <v>184</v>
      </c>
      <c r="M22" s="1" t="s">
        <v>78</v>
      </c>
      <c r="N22" s="1" t="s">
        <v>115</v>
      </c>
      <c r="O22" s="1" t="s">
        <v>115</v>
      </c>
      <c r="P22" s="1" t="s">
        <v>31</v>
      </c>
      <c r="Q22" s="2" t="b">
        <v>0</v>
      </c>
      <c r="R22" s="2" t="b">
        <v>0</v>
      </c>
      <c r="S22" s="1" t="s">
        <v>79</v>
      </c>
      <c r="T22" s="5"/>
      <c r="U22" s="5"/>
      <c r="V22" s="5"/>
      <c r="W22" s="1" t="s">
        <v>80</v>
      </c>
      <c r="X22" s="5">
        <v>1</v>
      </c>
      <c r="Y22" s="5">
        <v>3</v>
      </c>
      <c r="Z22" s="5">
        <v>4</v>
      </c>
      <c r="AA22" s="5">
        <v>0</v>
      </c>
      <c r="AB22" s="5">
        <v>1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1</v>
      </c>
      <c r="AJ22" s="5">
        <v>5</v>
      </c>
      <c r="AK22" s="1" t="s">
        <v>81</v>
      </c>
      <c r="AL22" s="6">
        <v>-1</v>
      </c>
      <c r="AM22" s="6">
        <v>-1</v>
      </c>
      <c r="AN22" s="1">
        <v>-1</v>
      </c>
      <c r="AO22" s="1">
        <v>-1</v>
      </c>
      <c r="AP22" s="1">
        <v>-1</v>
      </c>
      <c r="AQ22" s="1">
        <v>-1</v>
      </c>
      <c r="AR22" s="1" t="s">
        <v>94</v>
      </c>
      <c r="AS22" s="1" t="s">
        <v>95</v>
      </c>
      <c r="AT22" s="1" t="s">
        <v>75</v>
      </c>
      <c r="AU22" s="1" t="s">
        <v>84</v>
      </c>
      <c r="AV22" s="1" t="s">
        <v>85</v>
      </c>
      <c r="AW22" s="1" t="s">
        <v>86</v>
      </c>
      <c r="AX22" s="1" t="s">
        <v>87</v>
      </c>
    </row>
    <row r="23" spans="1:50" ht="15" customHeight="1">
      <c r="A23" s="1">
        <v>2006</v>
      </c>
      <c r="B23" s="1" t="s">
        <v>70</v>
      </c>
      <c r="C23" s="1" t="s">
        <v>185</v>
      </c>
      <c r="D23" s="1" t="s">
        <v>72</v>
      </c>
      <c r="E23" s="1" t="s">
        <v>114</v>
      </c>
      <c r="F23" s="4">
        <v>38884</v>
      </c>
      <c r="G23" s="1" t="s">
        <v>74</v>
      </c>
      <c r="H23" s="1" t="s">
        <v>122</v>
      </c>
      <c r="I23" s="1" t="s">
        <v>116</v>
      </c>
      <c r="J23" s="5">
        <v>2</v>
      </c>
      <c r="K23" s="5">
        <v>1</v>
      </c>
      <c r="L23" s="1" t="s">
        <v>117</v>
      </c>
      <c r="M23" s="1" t="s">
        <v>78</v>
      </c>
      <c r="N23" s="1" t="s">
        <v>122</v>
      </c>
      <c r="O23" s="1" t="s">
        <v>122</v>
      </c>
      <c r="P23" s="1" t="s">
        <v>31</v>
      </c>
      <c r="Q23" s="2" t="b">
        <v>0</v>
      </c>
      <c r="R23" s="2" t="b">
        <v>0</v>
      </c>
      <c r="S23" s="1" t="s">
        <v>79</v>
      </c>
      <c r="T23" s="5"/>
      <c r="U23" s="5"/>
      <c r="V23" s="5"/>
      <c r="W23" s="1" t="s">
        <v>80</v>
      </c>
      <c r="X23" s="5">
        <v>4</v>
      </c>
      <c r="Y23" s="5">
        <v>3</v>
      </c>
      <c r="Z23" s="5">
        <v>7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7</v>
      </c>
      <c r="AK23" s="1" t="s">
        <v>81</v>
      </c>
      <c r="AL23" s="6">
        <v>-1</v>
      </c>
      <c r="AM23" s="6">
        <v>-1</v>
      </c>
      <c r="AN23" s="1">
        <v>-1</v>
      </c>
      <c r="AO23" s="1">
        <v>-1</v>
      </c>
      <c r="AP23" s="1">
        <v>-1</v>
      </c>
      <c r="AQ23" s="1">
        <v>-1</v>
      </c>
      <c r="AR23" s="1" t="s">
        <v>162</v>
      </c>
      <c r="AS23" s="1" t="s">
        <v>163</v>
      </c>
      <c r="AT23" s="1" t="s">
        <v>75</v>
      </c>
      <c r="AU23" s="1" t="s">
        <v>84</v>
      </c>
      <c r="AV23" s="1" t="s">
        <v>85</v>
      </c>
      <c r="AW23" s="1" t="s">
        <v>86</v>
      </c>
      <c r="AX23" s="1" t="s">
        <v>87</v>
      </c>
    </row>
    <row r="24" spans="1:50" ht="15" customHeight="1">
      <c r="A24" s="1">
        <v>2006</v>
      </c>
      <c r="B24" s="1" t="s">
        <v>70</v>
      </c>
      <c r="C24" s="1" t="s">
        <v>186</v>
      </c>
      <c r="D24" s="1" t="s">
        <v>72</v>
      </c>
      <c r="E24" s="1" t="s">
        <v>127</v>
      </c>
      <c r="F24" s="4">
        <v>38884</v>
      </c>
      <c r="G24" s="1" t="s">
        <v>89</v>
      </c>
      <c r="H24" s="1" t="s">
        <v>128</v>
      </c>
      <c r="I24" s="1" t="s">
        <v>134</v>
      </c>
      <c r="J24" s="5">
        <v>0</v>
      </c>
      <c r="K24" s="5">
        <v>0</v>
      </c>
      <c r="L24" s="1" t="s">
        <v>107</v>
      </c>
      <c r="M24" s="1" t="s">
        <v>108</v>
      </c>
      <c r="N24" s="1" t="s">
        <v>109</v>
      </c>
      <c r="O24" s="1"/>
      <c r="P24" s="1" t="s">
        <v>110</v>
      </c>
      <c r="Q24" s="2" t="b">
        <v>0</v>
      </c>
      <c r="R24" s="2" t="b">
        <v>0</v>
      </c>
      <c r="S24" s="1" t="s">
        <v>79</v>
      </c>
      <c r="T24" s="5"/>
      <c r="U24" s="5"/>
      <c r="V24" s="5"/>
      <c r="W24" s="1" t="s">
        <v>80</v>
      </c>
      <c r="X24" s="5">
        <v>1</v>
      </c>
      <c r="Y24" s="5">
        <v>4</v>
      </c>
      <c r="Z24" s="5">
        <v>5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5">
        <v>1</v>
      </c>
      <c r="AG24" s="5">
        <v>0</v>
      </c>
      <c r="AH24" s="5">
        <v>1</v>
      </c>
      <c r="AI24" s="5">
        <v>1</v>
      </c>
      <c r="AJ24" s="5">
        <v>6</v>
      </c>
      <c r="AK24" s="1" t="s">
        <v>81</v>
      </c>
      <c r="AL24" s="6">
        <v>-1</v>
      </c>
      <c r="AM24" s="6">
        <v>-1</v>
      </c>
      <c r="AN24" s="1">
        <v>-1</v>
      </c>
      <c r="AO24" s="1">
        <v>-1</v>
      </c>
      <c r="AP24" s="1">
        <v>-1</v>
      </c>
      <c r="AQ24" s="1">
        <v>-1</v>
      </c>
      <c r="AR24" s="1" t="s">
        <v>153</v>
      </c>
      <c r="AS24" s="1" t="s">
        <v>154</v>
      </c>
      <c r="AT24" s="1" t="s">
        <v>75</v>
      </c>
      <c r="AU24" s="1" t="s">
        <v>84</v>
      </c>
      <c r="AV24" s="1" t="s">
        <v>85</v>
      </c>
      <c r="AW24" s="1" t="s">
        <v>86</v>
      </c>
      <c r="AX24" s="1" t="s">
        <v>87</v>
      </c>
    </row>
    <row r="25" spans="1:50" ht="15" customHeight="1">
      <c r="A25" s="1">
        <v>2006</v>
      </c>
      <c r="B25" s="1" t="s">
        <v>70</v>
      </c>
      <c r="C25" s="1" t="s">
        <v>187</v>
      </c>
      <c r="D25" s="1" t="s">
        <v>72</v>
      </c>
      <c r="E25" s="1" t="s">
        <v>127</v>
      </c>
      <c r="F25" s="4">
        <v>38885</v>
      </c>
      <c r="G25" s="1" t="s">
        <v>98</v>
      </c>
      <c r="H25" s="1" t="s">
        <v>135</v>
      </c>
      <c r="I25" s="1" t="s">
        <v>129</v>
      </c>
      <c r="J25" s="5">
        <v>2</v>
      </c>
      <c r="K25" s="5">
        <v>0</v>
      </c>
      <c r="L25" s="1" t="s">
        <v>152</v>
      </c>
      <c r="M25" s="1" t="s">
        <v>78</v>
      </c>
      <c r="N25" s="1" t="s">
        <v>135</v>
      </c>
      <c r="O25" s="1" t="s">
        <v>135</v>
      </c>
      <c r="P25" s="1" t="s">
        <v>31</v>
      </c>
      <c r="Q25" s="2" t="b">
        <v>0</v>
      </c>
      <c r="R25" s="2" t="b">
        <v>0</v>
      </c>
      <c r="S25" s="1" t="s">
        <v>79</v>
      </c>
      <c r="T25" s="5"/>
      <c r="U25" s="5"/>
      <c r="V25" s="5"/>
      <c r="W25" s="1" t="s">
        <v>80</v>
      </c>
      <c r="X25" s="5">
        <v>3</v>
      </c>
      <c r="Y25" s="5">
        <v>4</v>
      </c>
      <c r="Z25" s="5">
        <v>7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7</v>
      </c>
      <c r="AK25" s="1" t="s">
        <v>81</v>
      </c>
      <c r="AL25" s="6">
        <v>-1</v>
      </c>
      <c r="AM25" s="6">
        <v>-1</v>
      </c>
      <c r="AN25" s="1">
        <v>-1</v>
      </c>
      <c r="AO25" s="1">
        <v>-1</v>
      </c>
      <c r="AP25" s="1">
        <v>-1</v>
      </c>
      <c r="AQ25" s="1">
        <v>-1</v>
      </c>
      <c r="AR25" s="1" t="s">
        <v>102</v>
      </c>
      <c r="AS25" s="1" t="s">
        <v>103</v>
      </c>
      <c r="AT25" s="1" t="s">
        <v>75</v>
      </c>
      <c r="AU25" s="1" t="s">
        <v>84</v>
      </c>
      <c r="AV25" s="1" t="s">
        <v>85</v>
      </c>
      <c r="AW25" s="1" t="s">
        <v>86</v>
      </c>
      <c r="AX25" s="1" t="s">
        <v>87</v>
      </c>
    </row>
    <row r="26" spans="1:50" ht="15" customHeight="1">
      <c r="A26" s="1">
        <v>2006</v>
      </c>
      <c r="B26" s="1" t="s">
        <v>70</v>
      </c>
      <c r="C26" s="1" t="s">
        <v>188</v>
      </c>
      <c r="D26" s="1" t="s">
        <v>72</v>
      </c>
      <c r="E26" s="1" t="s">
        <v>145</v>
      </c>
      <c r="F26" s="4">
        <v>38885</v>
      </c>
      <c r="G26" s="1" t="s">
        <v>74</v>
      </c>
      <c r="H26" s="1" t="s">
        <v>147</v>
      </c>
      <c r="I26" s="1" t="s">
        <v>151</v>
      </c>
      <c r="J26" s="5">
        <v>0</v>
      </c>
      <c r="K26" s="5">
        <v>2</v>
      </c>
      <c r="L26" s="1" t="s">
        <v>92</v>
      </c>
      <c r="M26" s="1" t="s">
        <v>93</v>
      </c>
      <c r="N26" s="1" t="s">
        <v>151</v>
      </c>
      <c r="O26" s="1" t="s">
        <v>151</v>
      </c>
      <c r="P26" s="1" t="s">
        <v>31</v>
      </c>
      <c r="Q26" s="2" t="b">
        <v>0</v>
      </c>
      <c r="R26" s="2" t="b">
        <v>0</v>
      </c>
      <c r="S26" s="1" t="s">
        <v>79</v>
      </c>
      <c r="T26" s="5"/>
      <c r="U26" s="5"/>
      <c r="V26" s="5"/>
      <c r="W26" s="1" t="s">
        <v>80</v>
      </c>
      <c r="X26" s="5">
        <v>1</v>
      </c>
      <c r="Y26" s="5">
        <v>6</v>
      </c>
      <c r="Z26" s="5">
        <v>7</v>
      </c>
      <c r="AA26" s="5">
        <v>1</v>
      </c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1</v>
      </c>
      <c r="AH26" s="5">
        <v>0</v>
      </c>
      <c r="AI26" s="5">
        <v>1</v>
      </c>
      <c r="AJ26" s="5">
        <v>8</v>
      </c>
      <c r="AK26" s="1" t="s">
        <v>81</v>
      </c>
      <c r="AL26" s="6">
        <v>-1</v>
      </c>
      <c r="AM26" s="6">
        <v>-1</v>
      </c>
      <c r="AN26" s="1">
        <v>-1</v>
      </c>
      <c r="AO26" s="1">
        <v>-1</v>
      </c>
      <c r="AP26" s="1">
        <v>-1</v>
      </c>
      <c r="AQ26" s="1">
        <v>-1</v>
      </c>
      <c r="AR26" s="1" t="s">
        <v>136</v>
      </c>
      <c r="AS26" s="1" t="s">
        <v>137</v>
      </c>
      <c r="AT26" s="1" t="s">
        <v>75</v>
      </c>
      <c r="AU26" s="1" t="s">
        <v>84</v>
      </c>
      <c r="AV26" s="1" t="s">
        <v>85</v>
      </c>
      <c r="AW26" s="1" t="s">
        <v>86</v>
      </c>
      <c r="AX26" s="1" t="s">
        <v>87</v>
      </c>
    </row>
    <row r="27" spans="1:50" ht="15" customHeight="1">
      <c r="A27" s="1">
        <v>2006</v>
      </c>
      <c r="B27" s="1" t="s">
        <v>70</v>
      </c>
      <c r="C27" s="1" t="s">
        <v>189</v>
      </c>
      <c r="D27" s="1" t="s">
        <v>72</v>
      </c>
      <c r="E27" s="1" t="s">
        <v>145</v>
      </c>
      <c r="F27" s="4">
        <v>38885</v>
      </c>
      <c r="G27" s="1" t="s">
        <v>89</v>
      </c>
      <c r="H27" s="1" t="s">
        <v>150</v>
      </c>
      <c r="I27" s="1" t="s">
        <v>146</v>
      </c>
      <c r="J27" s="5">
        <v>1</v>
      </c>
      <c r="K27" s="5">
        <v>1</v>
      </c>
      <c r="L27" s="1" t="s">
        <v>190</v>
      </c>
      <c r="M27" s="1" t="s">
        <v>108</v>
      </c>
      <c r="N27" s="1" t="s">
        <v>109</v>
      </c>
      <c r="O27" s="1"/>
      <c r="P27" s="1" t="s">
        <v>110</v>
      </c>
      <c r="Q27" s="2" t="b">
        <v>0</v>
      </c>
      <c r="R27" s="2" t="b">
        <v>0</v>
      </c>
      <c r="S27" s="1" t="s">
        <v>79</v>
      </c>
      <c r="T27" s="5"/>
      <c r="U27" s="5"/>
      <c r="V27" s="5"/>
      <c r="W27" s="1" t="s">
        <v>80</v>
      </c>
      <c r="X27" s="5">
        <v>2</v>
      </c>
      <c r="Y27" s="5">
        <v>1</v>
      </c>
      <c r="Z27" s="5">
        <v>3</v>
      </c>
      <c r="AA27" s="5">
        <v>1</v>
      </c>
      <c r="AB27" s="5">
        <v>1</v>
      </c>
      <c r="AC27" s="5">
        <v>2</v>
      </c>
      <c r="AD27" s="5">
        <v>0</v>
      </c>
      <c r="AE27" s="5">
        <v>1</v>
      </c>
      <c r="AF27" s="5">
        <v>1</v>
      </c>
      <c r="AG27" s="5">
        <v>1</v>
      </c>
      <c r="AH27" s="5">
        <v>2</v>
      </c>
      <c r="AI27" s="5">
        <v>3</v>
      </c>
      <c r="AJ27" s="5">
        <v>6</v>
      </c>
      <c r="AK27" s="1" t="s">
        <v>81</v>
      </c>
      <c r="AL27" s="6">
        <v>-1</v>
      </c>
      <c r="AM27" s="6">
        <v>-1</v>
      </c>
      <c r="AN27" s="1">
        <v>-1</v>
      </c>
      <c r="AO27" s="1">
        <v>-1</v>
      </c>
      <c r="AP27" s="1">
        <v>-1</v>
      </c>
      <c r="AQ27" s="1">
        <v>-1</v>
      </c>
      <c r="AR27" s="1" t="s">
        <v>142</v>
      </c>
      <c r="AS27" s="1" t="s">
        <v>143</v>
      </c>
      <c r="AT27" s="1" t="s">
        <v>75</v>
      </c>
      <c r="AU27" s="1" t="s">
        <v>84</v>
      </c>
      <c r="AV27" s="1" t="s">
        <v>85</v>
      </c>
      <c r="AW27" s="1" t="s">
        <v>86</v>
      </c>
      <c r="AX27" s="1" t="s">
        <v>87</v>
      </c>
    </row>
    <row r="28" spans="1:50" ht="15" customHeight="1">
      <c r="A28" s="1">
        <v>2006</v>
      </c>
      <c r="B28" s="1" t="s">
        <v>70</v>
      </c>
      <c r="C28" s="1" t="s">
        <v>191</v>
      </c>
      <c r="D28" s="1" t="s">
        <v>72</v>
      </c>
      <c r="E28" s="1" t="s">
        <v>139</v>
      </c>
      <c r="F28" s="4">
        <v>38886</v>
      </c>
      <c r="G28" s="1" t="s">
        <v>98</v>
      </c>
      <c r="H28" s="1" t="s">
        <v>141</v>
      </c>
      <c r="I28" s="1" t="s">
        <v>166</v>
      </c>
      <c r="J28" s="5">
        <v>0</v>
      </c>
      <c r="K28" s="5">
        <v>0</v>
      </c>
      <c r="L28" s="1" t="s">
        <v>107</v>
      </c>
      <c r="M28" s="1" t="s">
        <v>108</v>
      </c>
      <c r="N28" s="1" t="s">
        <v>109</v>
      </c>
      <c r="O28" s="1"/>
      <c r="P28" s="1" t="s">
        <v>110</v>
      </c>
      <c r="Q28" s="2" t="b">
        <v>0</v>
      </c>
      <c r="R28" s="2" t="b">
        <v>0</v>
      </c>
      <c r="S28" s="1" t="s">
        <v>79</v>
      </c>
      <c r="T28" s="5"/>
      <c r="U28" s="5"/>
      <c r="V28" s="5"/>
      <c r="W28" s="1" t="s">
        <v>80</v>
      </c>
      <c r="X28" s="5">
        <v>3</v>
      </c>
      <c r="Y28" s="5">
        <v>2</v>
      </c>
      <c r="Z28" s="5">
        <v>5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5</v>
      </c>
      <c r="AK28" s="1" t="s">
        <v>81</v>
      </c>
      <c r="AL28" s="6">
        <v>-1</v>
      </c>
      <c r="AM28" s="6">
        <v>-1</v>
      </c>
      <c r="AN28" s="1">
        <v>-1</v>
      </c>
      <c r="AO28" s="1">
        <v>-1</v>
      </c>
      <c r="AP28" s="1">
        <v>-1</v>
      </c>
      <c r="AQ28" s="1">
        <v>-1</v>
      </c>
      <c r="AR28" s="1" t="s">
        <v>131</v>
      </c>
      <c r="AS28" s="1" t="s">
        <v>132</v>
      </c>
      <c r="AT28" s="1" t="s">
        <v>75</v>
      </c>
      <c r="AU28" s="1" t="s">
        <v>84</v>
      </c>
      <c r="AV28" s="1" t="s">
        <v>85</v>
      </c>
      <c r="AW28" s="1" t="s">
        <v>86</v>
      </c>
      <c r="AX28" s="1" t="s">
        <v>87</v>
      </c>
    </row>
    <row r="29" spans="1:50" ht="15" customHeight="1">
      <c r="A29" s="1">
        <v>2006</v>
      </c>
      <c r="B29" s="1" t="s">
        <v>70</v>
      </c>
      <c r="C29" s="1" t="s">
        <v>192</v>
      </c>
      <c r="D29" s="1" t="s">
        <v>72</v>
      </c>
      <c r="E29" s="1" t="s">
        <v>139</v>
      </c>
      <c r="F29" s="4">
        <v>38886</v>
      </c>
      <c r="G29" s="1" t="s">
        <v>74</v>
      </c>
      <c r="H29" s="1" t="s">
        <v>165</v>
      </c>
      <c r="I29" s="1" t="s">
        <v>140</v>
      </c>
      <c r="J29" s="5">
        <v>2</v>
      </c>
      <c r="K29" s="5">
        <v>0</v>
      </c>
      <c r="L29" s="1" t="s">
        <v>152</v>
      </c>
      <c r="M29" s="1" t="s">
        <v>78</v>
      </c>
      <c r="N29" s="1" t="s">
        <v>165</v>
      </c>
      <c r="O29" s="1" t="s">
        <v>165</v>
      </c>
      <c r="P29" s="1" t="s">
        <v>31</v>
      </c>
      <c r="Q29" s="2" t="b">
        <v>0</v>
      </c>
      <c r="R29" s="2" t="b">
        <v>0</v>
      </c>
      <c r="S29" s="1" t="s">
        <v>79</v>
      </c>
      <c r="T29" s="5"/>
      <c r="U29" s="5"/>
      <c r="V29" s="5"/>
      <c r="W29" s="1" t="s">
        <v>80</v>
      </c>
      <c r="X29" s="5">
        <v>3</v>
      </c>
      <c r="Y29" s="5">
        <v>2</v>
      </c>
      <c r="Z29" s="5">
        <v>5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5</v>
      </c>
      <c r="AK29" s="1" t="s">
        <v>81</v>
      </c>
      <c r="AL29" s="6">
        <v>-1</v>
      </c>
      <c r="AM29" s="6">
        <v>-1</v>
      </c>
      <c r="AN29" s="1">
        <v>-1</v>
      </c>
      <c r="AO29" s="1">
        <v>-1</v>
      </c>
      <c r="AP29" s="1">
        <v>-1</v>
      </c>
      <c r="AQ29" s="1">
        <v>-1</v>
      </c>
      <c r="AR29" s="1" t="s">
        <v>82</v>
      </c>
      <c r="AS29" s="1" t="s">
        <v>83</v>
      </c>
      <c r="AT29" s="1" t="s">
        <v>75</v>
      </c>
      <c r="AU29" s="1" t="s">
        <v>84</v>
      </c>
      <c r="AV29" s="1" t="s">
        <v>85</v>
      </c>
      <c r="AW29" s="1" t="s">
        <v>86</v>
      </c>
      <c r="AX29" s="1" t="s">
        <v>87</v>
      </c>
    </row>
    <row r="30" spans="1:50" ht="15" customHeight="1">
      <c r="A30" s="1">
        <v>2006</v>
      </c>
      <c r="B30" s="1" t="s">
        <v>70</v>
      </c>
      <c r="C30" s="1" t="s">
        <v>193</v>
      </c>
      <c r="D30" s="1" t="s">
        <v>72</v>
      </c>
      <c r="E30" s="1" t="s">
        <v>156</v>
      </c>
      <c r="F30" s="4">
        <v>38886</v>
      </c>
      <c r="G30" s="1" t="s">
        <v>89</v>
      </c>
      <c r="H30" s="1" t="s">
        <v>160</v>
      </c>
      <c r="I30" s="1" t="s">
        <v>157</v>
      </c>
      <c r="J30" s="5">
        <v>1</v>
      </c>
      <c r="K30" s="5">
        <v>1</v>
      </c>
      <c r="L30" s="1" t="s">
        <v>190</v>
      </c>
      <c r="M30" s="1" t="s">
        <v>108</v>
      </c>
      <c r="N30" s="1" t="s">
        <v>109</v>
      </c>
      <c r="O30" s="1"/>
      <c r="P30" s="1" t="s">
        <v>110</v>
      </c>
      <c r="Q30" s="2" t="b">
        <v>0</v>
      </c>
      <c r="R30" s="2" t="b">
        <v>0</v>
      </c>
      <c r="S30" s="1" t="s">
        <v>79</v>
      </c>
      <c r="T30" s="5"/>
      <c r="U30" s="5"/>
      <c r="V30" s="5"/>
      <c r="W30" s="1" t="s">
        <v>80</v>
      </c>
      <c r="X30" s="5">
        <v>2</v>
      </c>
      <c r="Y30" s="5">
        <v>2</v>
      </c>
      <c r="Z30" s="5">
        <v>4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4</v>
      </c>
      <c r="AK30" s="1" t="s">
        <v>81</v>
      </c>
      <c r="AL30" s="6">
        <v>-1</v>
      </c>
      <c r="AM30" s="6">
        <v>-1</v>
      </c>
      <c r="AN30" s="1">
        <v>-1</v>
      </c>
      <c r="AO30" s="1">
        <v>-1</v>
      </c>
      <c r="AP30" s="1">
        <v>-1</v>
      </c>
      <c r="AQ30" s="1">
        <v>-1</v>
      </c>
      <c r="AR30" s="1" t="s">
        <v>124</v>
      </c>
      <c r="AS30" s="1" t="s">
        <v>125</v>
      </c>
      <c r="AT30" s="1" t="s">
        <v>75</v>
      </c>
      <c r="AU30" s="1" t="s">
        <v>84</v>
      </c>
      <c r="AV30" s="1" t="s">
        <v>85</v>
      </c>
      <c r="AW30" s="1" t="s">
        <v>86</v>
      </c>
      <c r="AX30" s="1" t="s">
        <v>87</v>
      </c>
    </row>
    <row r="31" spans="1:50" ht="15" customHeight="1">
      <c r="A31" s="1">
        <v>2006</v>
      </c>
      <c r="B31" s="1" t="s">
        <v>70</v>
      </c>
      <c r="C31" s="1" t="s">
        <v>194</v>
      </c>
      <c r="D31" s="1" t="s">
        <v>72</v>
      </c>
      <c r="E31" s="1" t="s">
        <v>156</v>
      </c>
      <c r="F31" s="4">
        <v>38887</v>
      </c>
      <c r="G31" s="1" t="s">
        <v>98</v>
      </c>
      <c r="H31" s="1" t="s">
        <v>158</v>
      </c>
      <c r="I31" s="1" t="s">
        <v>161</v>
      </c>
      <c r="J31" s="5">
        <v>0</v>
      </c>
      <c r="K31" s="5">
        <v>2</v>
      </c>
      <c r="L31" s="1" t="s">
        <v>92</v>
      </c>
      <c r="M31" s="1" t="s">
        <v>93</v>
      </c>
      <c r="N31" s="1" t="s">
        <v>161</v>
      </c>
      <c r="O31" s="1" t="s">
        <v>161</v>
      </c>
      <c r="P31" s="1" t="s">
        <v>31</v>
      </c>
      <c r="Q31" s="2" t="b">
        <v>0</v>
      </c>
      <c r="R31" s="2" t="b">
        <v>0</v>
      </c>
      <c r="S31" s="1" t="s">
        <v>79</v>
      </c>
      <c r="T31" s="5"/>
      <c r="U31" s="5"/>
      <c r="V31" s="5"/>
      <c r="W31" s="1" t="s">
        <v>80</v>
      </c>
      <c r="X31" s="5">
        <v>3</v>
      </c>
      <c r="Y31" s="5">
        <v>1</v>
      </c>
      <c r="Z31" s="5">
        <v>4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4</v>
      </c>
      <c r="AK31" s="1" t="s">
        <v>81</v>
      </c>
      <c r="AL31" s="6">
        <v>-1</v>
      </c>
      <c r="AM31" s="6">
        <v>-1</v>
      </c>
      <c r="AN31" s="1">
        <v>-1</v>
      </c>
      <c r="AO31" s="1">
        <v>-1</v>
      </c>
      <c r="AP31" s="1">
        <v>-1</v>
      </c>
      <c r="AQ31" s="1">
        <v>-1</v>
      </c>
      <c r="AR31" s="1" t="s">
        <v>111</v>
      </c>
      <c r="AS31" s="1" t="s">
        <v>112</v>
      </c>
      <c r="AT31" s="1" t="s">
        <v>75</v>
      </c>
      <c r="AU31" s="1" t="s">
        <v>84</v>
      </c>
      <c r="AV31" s="1" t="s">
        <v>85</v>
      </c>
      <c r="AW31" s="1" t="s">
        <v>86</v>
      </c>
      <c r="AX31" s="1" t="s">
        <v>87</v>
      </c>
    </row>
    <row r="32" spans="1:50" ht="15" customHeight="1">
      <c r="A32" s="1">
        <v>2006</v>
      </c>
      <c r="B32" s="1" t="s">
        <v>70</v>
      </c>
      <c r="C32" s="1" t="s">
        <v>195</v>
      </c>
      <c r="D32" s="1" t="s">
        <v>72</v>
      </c>
      <c r="E32" s="1" t="s">
        <v>170</v>
      </c>
      <c r="F32" s="4">
        <v>38887</v>
      </c>
      <c r="G32" s="1" t="s">
        <v>74</v>
      </c>
      <c r="H32" s="1" t="s">
        <v>176</v>
      </c>
      <c r="I32" s="1" t="s">
        <v>172</v>
      </c>
      <c r="J32" s="5">
        <v>0</v>
      </c>
      <c r="K32" s="5">
        <v>4</v>
      </c>
      <c r="L32" s="1" t="s">
        <v>196</v>
      </c>
      <c r="M32" s="1" t="s">
        <v>93</v>
      </c>
      <c r="N32" s="1" t="s">
        <v>172</v>
      </c>
      <c r="O32" s="1" t="s">
        <v>172</v>
      </c>
      <c r="P32" s="1" t="s">
        <v>31</v>
      </c>
      <c r="Q32" s="2" t="b">
        <v>0</v>
      </c>
      <c r="R32" s="2" t="b">
        <v>0</v>
      </c>
      <c r="S32" s="1" t="s">
        <v>79</v>
      </c>
      <c r="T32" s="5"/>
      <c r="U32" s="5"/>
      <c r="V32" s="5"/>
      <c r="W32" s="1" t="s">
        <v>80</v>
      </c>
      <c r="X32" s="5">
        <v>3</v>
      </c>
      <c r="Y32" s="5">
        <v>3</v>
      </c>
      <c r="Z32" s="5">
        <v>6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6</v>
      </c>
      <c r="AK32" s="1" t="s">
        <v>81</v>
      </c>
      <c r="AL32" s="6">
        <v>-1</v>
      </c>
      <c r="AM32" s="6">
        <v>-1</v>
      </c>
      <c r="AN32" s="1">
        <v>-1</v>
      </c>
      <c r="AO32" s="1">
        <v>-1</v>
      </c>
      <c r="AP32" s="1">
        <v>-1</v>
      </c>
      <c r="AQ32" s="1">
        <v>-1</v>
      </c>
      <c r="AR32" s="1" t="s">
        <v>118</v>
      </c>
      <c r="AS32" s="1" t="s">
        <v>119</v>
      </c>
      <c r="AT32" s="1" t="s">
        <v>75</v>
      </c>
      <c r="AU32" s="1" t="s">
        <v>84</v>
      </c>
      <c r="AV32" s="1" t="s">
        <v>85</v>
      </c>
      <c r="AW32" s="1" t="s">
        <v>86</v>
      </c>
      <c r="AX32" s="1" t="s">
        <v>87</v>
      </c>
    </row>
    <row r="33" spans="1:50" ht="15" customHeight="1">
      <c r="A33" s="1">
        <v>2006</v>
      </c>
      <c r="B33" s="1" t="s">
        <v>70</v>
      </c>
      <c r="C33" s="1" t="s">
        <v>197</v>
      </c>
      <c r="D33" s="1" t="s">
        <v>72</v>
      </c>
      <c r="E33" s="1" t="s">
        <v>170</v>
      </c>
      <c r="F33" s="4">
        <v>38887</v>
      </c>
      <c r="G33" s="1" t="s">
        <v>89</v>
      </c>
      <c r="H33" s="1" t="s">
        <v>171</v>
      </c>
      <c r="I33" s="1" t="s">
        <v>175</v>
      </c>
      <c r="J33" s="5">
        <v>3</v>
      </c>
      <c r="K33" s="5">
        <v>1</v>
      </c>
      <c r="L33" s="1" t="s">
        <v>130</v>
      </c>
      <c r="M33" s="1" t="s">
        <v>78</v>
      </c>
      <c r="N33" s="1" t="s">
        <v>171</v>
      </c>
      <c r="O33" s="1" t="s">
        <v>171</v>
      </c>
      <c r="P33" s="1" t="s">
        <v>31</v>
      </c>
      <c r="Q33" s="2" t="b">
        <v>0</v>
      </c>
      <c r="R33" s="2" t="b">
        <v>0</v>
      </c>
      <c r="S33" s="1" t="s">
        <v>79</v>
      </c>
      <c r="T33" s="5"/>
      <c r="U33" s="5"/>
      <c r="V33" s="5"/>
      <c r="W33" s="1" t="s">
        <v>80</v>
      </c>
      <c r="X33" s="5">
        <v>2</v>
      </c>
      <c r="Y33" s="5">
        <v>6</v>
      </c>
      <c r="Z33" s="5">
        <v>8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8</v>
      </c>
      <c r="AK33" s="1" t="s">
        <v>81</v>
      </c>
      <c r="AL33" s="6">
        <v>-1</v>
      </c>
      <c r="AM33" s="6">
        <v>-1</v>
      </c>
      <c r="AN33" s="1">
        <v>-1</v>
      </c>
      <c r="AO33" s="1">
        <v>-1</v>
      </c>
      <c r="AP33" s="1">
        <v>-1</v>
      </c>
      <c r="AQ33" s="1">
        <v>-1</v>
      </c>
      <c r="AR33" s="1" t="s">
        <v>162</v>
      </c>
      <c r="AS33" s="1" t="s">
        <v>163</v>
      </c>
      <c r="AT33" s="1" t="s">
        <v>75</v>
      </c>
      <c r="AU33" s="1" t="s">
        <v>84</v>
      </c>
      <c r="AV33" s="1" t="s">
        <v>85</v>
      </c>
      <c r="AW33" s="1" t="s">
        <v>86</v>
      </c>
      <c r="AX33" s="1" t="s">
        <v>87</v>
      </c>
    </row>
    <row r="34" spans="1:50" ht="15" customHeight="1">
      <c r="A34" s="1">
        <v>2006</v>
      </c>
      <c r="B34" s="1" t="s">
        <v>70</v>
      </c>
      <c r="C34" s="1" t="s">
        <v>198</v>
      </c>
      <c r="D34" s="1" t="s">
        <v>72</v>
      </c>
      <c r="E34" s="1" t="s">
        <v>73</v>
      </c>
      <c r="F34" s="4">
        <v>38888</v>
      </c>
      <c r="G34" s="1" t="s">
        <v>199</v>
      </c>
      <c r="H34" s="1" t="s">
        <v>76</v>
      </c>
      <c r="I34" s="1" t="s">
        <v>90</v>
      </c>
      <c r="J34" s="5">
        <v>1</v>
      </c>
      <c r="K34" s="5">
        <v>2</v>
      </c>
      <c r="L34" s="1" t="s">
        <v>200</v>
      </c>
      <c r="M34" s="1" t="s">
        <v>93</v>
      </c>
      <c r="N34" s="1" t="s">
        <v>90</v>
      </c>
      <c r="O34" s="1" t="s">
        <v>90</v>
      </c>
      <c r="P34" s="1" t="s">
        <v>31</v>
      </c>
      <c r="Q34" s="2" t="b">
        <v>0</v>
      </c>
      <c r="R34" s="2" t="b">
        <v>0</v>
      </c>
      <c r="S34" s="1" t="s">
        <v>79</v>
      </c>
      <c r="T34" s="5"/>
      <c r="U34" s="5"/>
      <c r="V34" s="5"/>
      <c r="W34" s="1" t="s">
        <v>80</v>
      </c>
      <c r="X34" s="5">
        <v>5</v>
      </c>
      <c r="Y34" s="5">
        <v>5</v>
      </c>
      <c r="Z34" s="5">
        <v>10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10</v>
      </c>
      <c r="AK34" s="1" t="s">
        <v>81</v>
      </c>
      <c r="AL34" s="6">
        <v>-1</v>
      </c>
      <c r="AM34" s="6">
        <v>-1</v>
      </c>
      <c r="AN34" s="1">
        <v>-1</v>
      </c>
      <c r="AO34" s="1">
        <v>-1</v>
      </c>
      <c r="AP34" s="1">
        <v>-1</v>
      </c>
      <c r="AQ34" s="1">
        <v>-1</v>
      </c>
      <c r="AR34" s="1" t="s">
        <v>153</v>
      </c>
      <c r="AS34" s="1" t="s">
        <v>154</v>
      </c>
      <c r="AT34" s="1" t="s">
        <v>75</v>
      </c>
      <c r="AU34" s="1" t="s">
        <v>84</v>
      </c>
      <c r="AV34" s="1" t="s">
        <v>85</v>
      </c>
      <c r="AW34" s="1" t="s">
        <v>86</v>
      </c>
      <c r="AX34" s="1" t="s">
        <v>87</v>
      </c>
    </row>
    <row r="35" spans="1:50" ht="15" customHeight="1">
      <c r="A35" s="1">
        <v>2006</v>
      </c>
      <c r="B35" s="1" t="s">
        <v>70</v>
      </c>
      <c r="C35" s="1" t="s">
        <v>201</v>
      </c>
      <c r="D35" s="1" t="s">
        <v>72</v>
      </c>
      <c r="E35" s="1" t="s">
        <v>73</v>
      </c>
      <c r="F35" s="4">
        <v>38888</v>
      </c>
      <c r="G35" s="1" t="s">
        <v>199</v>
      </c>
      <c r="H35" s="1" t="s">
        <v>91</v>
      </c>
      <c r="I35" s="1" t="s">
        <v>75</v>
      </c>
      <c r="J35" s="5">
        <v>0</v>
      </c>
      <c r="K35" s="5">
        <v>3</v>
      </c>
      <c r="L35" s="1" t="s">
        <v>148</v>
      </c>
      <c r="M35" s="1" t="s">
        <v>93</v>
      </c>
      <c r="N35" s="1" t="s">
        <v>75</v>
      </c>
      <c r="O35" s="1" t="s">
        <v>75</v>
      </c>
      <c r="P35" s="1" t="s">
        <v>31</v>
      </c>
      <c r="Q35" s="2" t="b">
        <v>0</v>
      </c>
      <c r="R35" s="2" t="b">
        <v>0</v>
      </c>
      <c r="S35" s="1" t="s">
        <v>79</v>
      </c>
      <c r="T35" s="5"/>
      <c r="U35" s="5"/>
      <c r="V35" s="5"/>
      <c r="W35" s="1" t="s">
        <v>80</v>
      </c>
      <c r="X35" s="5">
        <v>1</v>
      </c>
      <c r="Y35" s="5">
        <v>1</v>
      </c>
      <c r="Z35" s="5">
        <v>2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2</v>
      </c>
      <c r="AK35" s="1" t="s">
        <v>81</v>
      </c>
      <c r="AL35" s="6">
        <v>-1</v>
      </c>
      <c r="AM35" s="6">
        <v>-1</v>
      </c>
      <c r="AN35" s="1">
        <v>-1</v>
      </c>
      <c r="AO35" s="1">
        <v>-1</v>
      </c>
      <c r="AP35" s="1">
        <v>-1</v>
      </c>
      <c r="AQ35" s="1">
        <v>-1</v>
      </c>
      <c r="AR35" s="1" t="s">
        <v>167</v>
      </c>
      <c r="AS35" s="1" t="s">
        <v>168</v>
      </c>
      <c r="AT35" s="1" t="s">
        <v>75</v>
      </c>
      <c r="AU35" s="1" t="s">
        <v>84</v>
      </c>
      <c r="AV35" s="1" t="s">
        <v>85</v>
      </c>
      <c r="AW35" s="1" t="s">
        <v>86</v>
      </c>
      <c r="AX35" s="1" t="s">
        <v>87</v>
      </c>
    </row>
    <row r="36" spans="1:50" ht="15" customHeight="1">
      <c r="A36" s="1">
        <v>2006</v>
      </c>
      <c r="B36" s="1" t="s">
        <v>70</v>
      </c>
      <c r="C36" s="1" t="s">
        <v>202</v>
      </c>
      <c r="D36" s="1" t="s">
        <v>72</v>
      </c>
      <c r="E36" s="1" t="s">
        <v>97</v>
      </c>
      <c r="F36" s="4">
        <v>38888</v>
      </c>
      <c r="G36" s="1" t="s">
        <v>89</v>
      </c>
      <c r="H36" s="1" t="s">
        <v>100</v>
      </c>
      <c r="I36" s="1" t="s">
        <v>105</v>
      </c>
      <c r="J36" s="5">
        <v>2</v>
      </c>
      <c r="K36" s="5">
        <v>0</v>
      </c>
      <c r="L36" s="1" t="s">
        <v>152</v>
      </c>
      <c r="M36" s="1" t="s">
        <v>78</v>
      </c>
      <c r="N36" s="1" t="s">
        <v>100</v>
      </c>
      <c r="O36" s="1" t="s">
        <v>100</v>
      </c>
      <c r="P36" s="1" t="s">
        <v>31</v>
      </c>
      <c r="Q36" s="2" t="b">
        <v>0</v>
      </c>
      <c r="R36" s="2" t="b">
        <v>0</v>
      </c>
      <c r="S36" s="1" t="s">
        <v>79</v>
      </c>
      <c r="T36" s="5"/>
      <c r="U36" s="5"/>
      <c r="V36" s="5"/>
      <c r="W36" s="1" t="s">
        <v>80</v>
      </c>
      <c r="X36" s="5">
        <v>2</v>
      </c>
      <c r="Y36" s="5">
        <v>2</v>
      </c>
      <c r="Z36" s="5">
        <v>4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4</v>
      </c>
      <c r="AK36" s="1" t="s">
        <v>81</v>
      </c>
      <c r="AL36" s="6">
        <v>-1</v>
      </c>
      <c r="AM36" s="6">
        <v>-1</v>
      </c>
      <c r="AN36" s="1">
        <v>-1</v>
      </c>
      <c r="AO36" s="1">
        <v>-1</v>
      </c>
      <c r="AP36" s="1">
        <v>-1</v>
      </c>
      <c r="AQ36" s="1">
        <v>-1</v>
      </c>
      <c r="AR36" s="1" t="s">
        <v>142</v>
      </c>
      <c r="AS36" s="1" t="s">
        <v>143</v>
      </c>
      <c r="AT36" s="1" t="s">
        <v>75</v>
      </c>
      <c r="AU36" s="1" t="s">
        <v>84</v>
      </c>
      <c r="AV36" s="1" t="s">
        <v>85</v>
      </c>
      <c r="AW36" s="1" t="s">
        <v>86</v>
      </c>
      <c r="AX36" s="1" t="s">
        <v>87</v>
      </c>
    </row>
    <row r="37" spans="1:50" ht="15" customHeight="1">
      <c r="A37" s="1">
        <v>2006</v>
      </c>
      <c r="B37" s="1" t="s">
        <v>70</v>
      </c>
      <c r="C37" s="1" t="s">
        <v>203</v>
      </c>
      <c r="D37" s="1" t="s">
        <v>72</v>
      </c>
      <c r="E37" s="1" t="s">
        <v>97</v>
      </c>
      <c r="F37" s="4">
        <v>38888</v>
      </c>
      <c r="G37" s="1" t="s">
        <v>89</v>
      </c>
      <c r="H37" s="1" t="s">
        <v>106</v>
      </c>
      <c r="I37" s="1" t="s">
        <v>99</v>
      </c>
      <c r="J37" s="5">
        <v>2</v>
      </c>
      <c r="K37" s="5">
        <v>2</v>
      </c>
      <c r="L37" s="1" t="s">
        <v>177</v>
      </c>
      <c r="M37" s="1" t="s">
        <v>108</v>
      </c>
      <c r="N37" s="1" t="s">
        <v>109</v>
      </c>
      <c r="O37" s="1"/>
      <c r="P37" s="1" t="s">
        <v>110</v>
      </c>
      <c r="Q37" s="2" t="b">
        <v>0</v>
      </c>
      <c r="R37" s="2" t="b">
        <v>0</v>
      </c>
      <c r="S37" s="1" t="s">
        <v>79</v>
      </c>
      <c r="T37" s="5"/>
      <c r="U37" s="5"/>
      <c r="V37" s="5"/>
      <c r="W37" s="1" t="s">
        <v>80</v>
      </c>
      <c r="X37" s="5">
        <v>2</v>
      </c>
      <c r="Y37" s="5">
        <v>1</v>
      </c>
      <c r="Z37" s="5">
        <v>3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3</v>
      </c>
      <c r="AK37" s="1" t="s">
        <v>81</v>
      </c>
      <c r="AL37" s="6">
        <v>-1</v>
      </c>
      <c r="AM37" s="6">
        <v>-1</v>
      </c>
      <c r="AN37" s="1">
        <v>-1</v>
      </c>
      <c r="AO37" s="1">
        <v>-1</v>
      </c>
      <c r="AP37" s="1">
        <v>-1</v>
      </c>
      <c r="AQ37" s="1">
        <v>-1</v>
      </c>
      <c r="AR37" s="1" t="s">
        <v>136</v>
      </c>
      <c r="AS37" s="1" t="s">
        <v>137</v>
      </c>
      <c r="AT37" s="1" t="s">
        <v>75</v>
      </c>
      <c r="AU37" s="1" t="s">
        <v>84</v>
      </c>
      <c r="AV37" s="1" t="s">
        <v>85</v>
      </c>
      <c r="AW37" s="1" t="s">
        <v>86</v>
      </c>
      <c r="AX37" s="1" t="s">
        <v>87</v>
      </c>
    </row>
    <row r="38" spans="1:50" ht="15" customHeight="1">
      <c r="A38" s="1">
        <v>2006</v>
      </c>
      <c r="B38" s="1" t="s">
        <v>70</v>
      </c>
      <c r="C38" s="1" t="s">
        <v>204</v>
      </c>
      <c r="D38" s="1" t="s">
        <v>72</v>
      </c>
      <c r="E38" s="1" t="s">
        <v>127</v>
      </c>
      <c r="F38" s="4">
        <v>38889</v>
      </c>
      <c r="G38" s="1" t="s">
        <v>199</v>
      </c>
      <c r="H38" s="1" t="s">
        <v>129</v>
      </c>
      <c r="I38" s="1" t="s">
        <v>134</v>
      </c>
      <c r="J38" s="5">
        <v>1</v>
      </c>
      <c r="K38" s="5">
        <v>1</v>
      </c>
      <c r="L38" s="1" t="s">
        <v>190</v>
      </c>
      <c r="M38" s="1" t="s">
        <v>108</v>
      </c>
      <c r="N38" s="1" t="s">
        <v>109</v>
      </c>
      <c r="O38" s="1"/>
      <c r="P38" s="1" t="s">
        <v>110</v>
      </c>
      <c r="Q38" s="2" t="b">
        <v>0</v>
      </c>
      <c r="R38" s="2" t="b">
        <v>0</v>
      </c>
      <c r="S38" s="1" t="s">
        <v>79</v>
      </c>
      <c r="T38" s="5"/>
      <c r="U38" s="5"/>
      <c r="V38" s="5"/>
      <c r="W38" s="1" t="s">
        <v>80</v>
      </c>
      <c r="X38" s="5">
        <v>3</v>
      </c>
      <c r="Y38" s="5">
        <v>3</v>
      </c>
      <c r="Z38" s="5">
        <v>6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6</v>
      </c>
      <c r="AK38" s="1" t="s">
        <v>81</v>
      </c>
      <c r="AL38" s="6">
        <v>-1</v>
      </c>
      <c r="AM38" s="6">
        <v>-1</v>
      </c>
      <c r="AN38" s="1">
        <v>-1</v>
      </c>
      <c r="AO38" s="1">
        <v>-1</v>
      </c>
      <c r="AP38" s="1">
        <v>-1</v>
      </c>
      <c r="AQ38" s="1">
        <v>-1</v>
      </c>
      <c r="AR38" s="1" t="s">
        <v>124</v>
      </c>
      <c r="AS38" s="1" t="s">
        <v>125</v>
      </c>
      <c r="AT38" s="1" t="s">
        <v>75</v>
      </c>
      <c r="AU38" s="1" t="s">
        <v>84</v>
      </c>
      <c r="AV38" s="1" t="s">
        <v>85</v>
      </c>
      <c r="AW38" s="1" t="s">
        <v>86</v>
      </c>
      <c r="AX38" s="1" t="s">
        <v>87</v>
      </c>
    </row>
    <row r="39" spans="1:50" ht="15" customHeight="1">
      <c r="A39" s="1">
        <v>2006</v>
      </c>
      <c r="B39" s="1" t="s">
        <v>70</v>
      </c>
      <c r="C39" s="1" t="s">
        <v>205</v>
      </c>
      <c r="D39" s="1" t="s">
        <v>72</v>
      </c>
      <c r="E39" s="1" t="s">
        <v>127</v>
      </c>
      <c r="F39" s="4">
        <v>38889</v>
      </c>
      <c r="G39" s="1" t="s">
        <v>199</v>
      </c>
      <c r="H39" s="1" t="s">
        <v>135</v>
      </c>
      <c r="I39" s="1" t="s">
        <v>128</v>
      </c>
      <c r="J39" s="5">
        <v>2</v>
      </c>
      <c r="K39" s="5">
        <v>1</v>
      </c>
      <c r="L39" s="1" t="s">
        <v>117</v>
      </c>
      <c r="M39" s="1" t="s">
        <v>78</v>
      </c>
      <c r="N39" s="1" t="s">
        <v>135</v>
      </c>
      <c r="O39" s="1" t="s">
        <v>135</v>
      </c>
      <c r="P39" s="1" t="s">
        <v>31</v>
      </c>
      <c r="Q39" s="2" t="b">
        <v>0</v>
      </c>
      <c r="R39" s="2" t="b">
        <v>0</v>
      </c>
      <c r="S39" s="1" t="s">
        <v>79</v>
      </c>
      <c r="T39" s="5"/>
      <c r="U39" s="5"/>
      <c r="V39" s="5"/>
      <c r="W39" s="1" t="s">
        <v>80</v>
      </c>
      <c r="X39" s="5">
        <v>4</v>
      </c>
      <c r="Y39" s="5">
        <v>4</v>
      </c>
      <c r="Z39" s="5">
        <v>8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5">
        <v>1</v>
      </c>
      <c r="AG39" s="5">
        <v>0</v>
      </c>
      <c r="AH39" s="5">
        <v>1</v>
      </c>
      <c r="AI39" s="5">
        <v>1</v>
      </c>
      <c r="AJ39" s="5">
        <v>9</v>
      </c>
      <c r="AK39" s="1" t="s">
        <v>81</v>
      </c>
      <c r="AL39" s="6">
        <v>-1</v>
      </c>
      <c r="AM39" s="6">
        <v>-1</v>
      </c>
      <c r="AN39" s="1">
        <v>-1</v>
      </c>
      <c r="AO39" s="1">
        <v>-1</v>
      </c>
      <c r="AP39" s="1">
        <v>-1</v>
      </c>
      <c r="AQ39" s="1">
        <v>-1</v>
      </c>
      <c r="AR39" s="1" t="s">
        <v>94</v>
      </c>
      <c r="AS39" s="1" t="s">
        <v>95</v>
      </c>
      <c r="AT39" s="1" t="s">
        <v>75</v>
      </c>
      <c r="AU39" s="1" t="s">
        <v>84</v>
      </c>
      <c r="AV39" s="1" t="s">
        <v>85</v>
      </c>
      <c r="AW39" s="1" t="s">
        <v>86</v>
      </c>
      <c r="AX39" s="1" t="s">
        <v>87</v>
      </c>
    </row>
    <row r="40" spans="1:50" ht="15" customHeight="1">
      <c r="A40" s="1">
        <v>2006</v>
      </c>
      <c r="B40" s="1" t="s">
        <v>70</v>
      </c>
      <c r="C40" s="1" t="s">
        <v>206</v>
      </c>
      <c r="D40" s="1" t="s">
        <v>72</v>
      </c>
      <c r="E40" s="1" t="s">
        <v>114</v>
      </c>
      <c r="F40" s="4">
        <v>38889</v>
      </c>
      <c r="G40" s="1" t="s">
        <v>89</v>
      </c>
      <c r="H40" s="1" t="s">
        <v>116</v>
      </c>
      <c r="I40" s="1" t="s">
        <v>121</v>
      </c>
      <c r="J40" s="5">
        <v>3</v>
      </c>
      <c r="K40" s="5">
        <v>2</v>
      </c>
      <c r="L40" s="1" t="s">
        <v>207</v>
      </c>
      <c r="M40" s="1" t="s">
        <v>78</v>
      </c>
      <c r="N40" s="1" t="s">
        <v>116</v>
      </c>
      <c r="O40" s="1" t="s">
        <v>116</v>
      </c>
      <c r="P40" s="1" t="s">
        <v>31</v>
      </c>
      <c r="Q40" s="2" t="b">
        <v>0</v>
      </c>
      <c r="R40" s="2" t="b">
        <v>0</v>
      </c>
      <c r="S40" s="1" t="s">
        <v>79</v>
      </c>
      <c r="T40" s="5"/>
      <c r="U40" s="5"/>
      <c r="V40" s="5"/>
      <c r="W40" s="1" t="s">
        <v>80</v>
      </c>
      <c r="X40" s="5">
        <v>3</v>
      </c>
      <c r="Y40" s="5">
        <v>4</v>
      </c>
      <c r="Z40" s="5">
        <v>7</v>
      </c>
      <c r="AA40" s="5">
        <v>0</v>
      </c>
      <c r="AB40" s="5">
        <v>0</v>
      </c>
      <c r="AC40" s="5">
        <v>0</v>
      </c>
      <c r="AD40" s="5">
        <v>1</v>
      </c>
      <c r="AE40" s="5">
        <v>1</v>
      </c>
      <c r="AF40" s="5">
        <v>2</v>
      </c>
      <c r="AG40" s="5">
        <v>1</v>
      </c>
      <c r="AH40" s="5">
        <v>1</v>
      </c>
      <c r="AI40" s="5">
        <v>2</v>
      </c>
      <c r="AJ40" s="5">
        <v>9</v>
      </c>
      <c r="AK40" s="1" t="s">
        <v>81</v>
      </c>
      <c r="AL40" s="6">
        <v>-1</v>
      </c>
      <c r="AM40" s="6">
        <v>-1</v>
      </c>
      <c r="AN40" s="1">
        <v>-1</v>
      </c>
      <c r="AO40" s="1">
        <v>-1</v>
      </c>
      <c r="AP40" s="1">
        <v>-1</v>
      </c>
      <c r="AQ40" s="1">
        <v>-1</v>
      </c>
      <c r="AR40" s="1" t="s">
        <v>82</v>
      </c>
      <c r="AS40" s="1" t="s">
        <v>83</v>
      </c>
      <c r="AT40" s="1" t="s">
        <v>75</v>
      </c>
      <c r="AU40" s="1" t="s">
        <v>84</v>
      </c>
      <c r="AV40" s="1" t="s">
        <v>85</v>
      </c>
      <c r="AW40" s="1" t="s">
        <v>86</v>
      </c>
      <c r="AX40" s="1" t="s">
        <v>87</v>
      </c>
    </row>
    <row r="41" spans="1:50" ht="15" customHeight="1">
      <c r="A41" s="1">
        <v>2006</v>
      </c>
      <c r="B41" s="1" t="s">
        <v>70</v>
      </c>
      <c r="C41" s="1" t="s">
        <v>208</v>
      </c>
      <c r="D41" s="1" t="s">
        <v>72</v>
      </c>
      <c r="E41" s="1" t="s">
        <v>114</v>
      </c>
      <c r="F41" s="4">
        <v>38889</v>
      </c>
      <c r="G41" s="1" t="s">
        <v>89</v>
      </c>
      <c r="H41" s="1" t="s">
        <v>122</v>
      </c>
      <c r="I41" s="1" t="s">
        <v>115</v>
      </c>
      <c r="J41" s="5">
        <v>0</v>
      </c>
      <c r="K41" s="5">
        <v>0</v>
      </c>
      <c r="L41" s="1" t="s">
        <v>107</v>
      </c>
      <c r="M41" s="1" t="s">
        <v>108</v>
      </c>
      <c r="N41" s="1" t="s">
        <v>109</v>
      </c>
      <c r="O41" s="1"/>
      <c r="P41" s="1" t="s">
        <v>110</v>
      </c>
      <c r="Q41" s="2" t="b">
        <v>0</v>
      </c>
      <c r="R41" s="2" t="b">
        <v>0</v>
      </c>
      <c r="S41" s="1" t="s">
        <v>79</v>
      </c>
      <c r="T41" s="5"/>
      <c r="U41" s="5"/>
      <c r="V41" s="5"/>
      <c r="W41" s="1" t="s">
        <v>80</v>
      </c>
      <c r="X41" s="5">
        <v>3</v>
      </c>
      <c r="Y41" s="5">
        <v>2</v>
      </c>
      <c r="Z41" s="5">
        <v>5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5</v>
      </c>
      <c r="AK41" s="1" t="s">
        <v>81</v>
      </c>
      <c r="AL41" s="6">
        <v>-1</v>
      </c>
      <c r="AM41" s="6">
        <v>-1</v>
      </c>
      <c r="AN41" s="1">
        <v>-1</v>
      </c>
      <c r="AO41" s="1">
        <v>-1</v>
      </c>
      <c r="AP41" s="1">
        <v>-1</v>
      </c>
      <c r="AQ41" s="1">
        <v>-1</v>
      </c>
      <c r="AR41" s="1" t="s">
        <v>102</v>
      </c>
      <c r="AS41" s="1" t="s">
        <v>103</v>
      </c>
      <c r="AT41" s="1" t="s">
        <v>75</v>
      </c>
      <c r="AU41" s="1" t="s">
        <v>84</v>
      </c>
      <c r="AV41" s="1" t="s">
        <v>85</v>
      </c>
      <c r="AW41" s="1" t="s">
        <v>86</v>
      </c>
      <c r="AX41" s="1" t="s">
        <v>87</v>
      </c>
    </row>
    <row r="42" spans="1:50" ht="15" customHeight="1">
      <c r="A42" s="1">
        <v>2006</v>
      </c>
      <c r="B42" s="1" t="s">
        <v>70</v>
      </c>
      <c r="C42" s="1" t="s">
        <v>209</v>
      </c>
      <c r="D42" s="1" t="s">
        <v>72</v>
      </c>
      <c r="E42" s="1" t="s">
        <v>145</v>
      </c>
      <c r="F42" s="4">
        <v>38890</v>
      </c>
      <c r="G42" s="1" t="s">
        <v>199</v>
      </c>
      <c r="H42" s="1" t="s">
        <v>147</v>
      </c>
      <c r="I42" s="1" t="s">
        <v>150</v>
      </c>
      <c r="J42" s="5">
        <v>0</v>
      </c>
      <c r="K42" s="5">
        <v>2</v>
      </c>
      <c r="L42" s="1" t="s">
        <v>92</v>
      </c>
      <c r="M42" s="1" t="s">
        <v>93</v>
      </c>
      <c r="N42" s="1" t="s">
        <v>150</v>
      </c>
      <c r="O42" s="1" t="s">
        <v>150</v>
      </c>
      <c r="P42" s="1" t="s">
        <v>31</v>
      </c>
      <c r="Q42" s="2" t="b">
        <v>0</v>
      </c>
      <c r="R42" s="2" t="b">
        <v>0</v>
      </c>
      <c r="S42" s="1" t="s">
        <v>79</v>
      </c>
      <c r="T42" s="5"/>
      <c r="U42" s="5"/>
      <c r="V42" s="5"/>
      <c r="W42" s="1" t="s">
        <v>80</v>
      </c>
      <c r="X42" s="5">
        <v>1</v>
      </c>
      <c r="Y42" s="5">
        <v>1</v>
      </c>
      <c r="Z42" s="5">
        <v>2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5">
        <v>1</v>
      </c>
      <c r="AG42" s="5">
        <v>1</v>
      </c>
      <c r="AH42" s="5">
        <v>0</v>
      </c>
      <c r="AI42" s="5">
        <v>1</v>
      </c>
      <c r="AJ42" s="5">
        <v>3</v>
      </c>
      <c r="AK42" s="1" t="s">
        <v>81</v>
      </c>
      <c r="AL42" s="6">
        <v>-1</v>
      </c>
      <c r="AM42" s="6">
        <v>-1</v>
      </c>
      <c r="AN42" s="1">
        <v>-1</v>
      </c>
      <c r="AO42" s="1">
        <v>-1</v>
      </c>
      <c r="AP42" s="1">
        <v>-1</v>
      </c>
      <c r="AQ42" s="1">
        <v>-1</v>
      </c>
      <c r="AR42" s="1" t="s">
        <v>118</v>
      </c>
      <c r="AS42" s="1" t="s">
        <v>119</v>
      </c>
      <c r="AT42" s="1" t="s">
        <v>75</v>
      </c>
      <c r="AU42" s="1" t="s">
        <v>84</v>
      </c>
      <c r="AV42" s="1" t="s">
        <v>85</v>
      </c>
      <c r="AW42" s="1" t="s">
        <v>86</v>
      </c>
      <c r="AX42" s="1" t="s">
        <v>87</v>
      </c>
    </row>
    <row r="43" spans="1:50" ht="15" customHeight="1">
      <c r="A43" s="1">
        <v>2006</v>
      </c>
      <c r="B43" s="1" t="s">
        <v>70</v>
      </c>
      <c r="C43" s="1" t="s">
        <v>210</v>
      </c>
      <c r="D43" s="1" t="s">
        <v>72</v>
      </c>
      <c r="E43" s="1" t="s">
        <v>145</v>
      </c>
      <c r="F43" s="4">
        <v>38890</v>
      </c>
      <c r="G43" s="1" t="s">
        <v>199</v>
      </c>
      <c r="H43" s="1" t="s">
        <v>151</v>
      </c>
      <c r="I43" s="1" t="s">
        <v>146</v>
      </c>
      <c r="J43" s="5">
        <v>2</v>
      </c>
      <c r="K43" s="5">
        <v>1</v>
      </c>
      <c r="L43" s="1" t="s">
        <v>117</v>
      </c>
      <c r="M43" s="1" t="s">
        <v>78</v>
      </c>
      <c r="N43" s="1" t="s">
        <v>151</v>
      </c>
      <c r="O43" s="1" t="s">
        <v>151</v>
      </c>
      <c r="P43" s="1" t="s">
        <v>31</v>
      </c>
      <c r="Q43" s="2" t="b">
        <v>0</v>
      </c>
      <c r="R43" s="2" t="b">
        <v>0</v>
      </c>
      <c r="S43" s="1" t="s">
        <v>79</v>
      </c>
      <c r="T43" s="5"/>
      <c r="U43" s="5"/>
      <c r="V43" s="5"/>
      <c r="W43" s="1" t="s">
        <v>80</v>
      </c>
      <c r="X43" s="5">
        <v>4</v>
      </c>
      <c r="Y43" s="5">
        <v>1</v>
      </c>
      <c r="Z43" s="5">
        <v>5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5</v>
      </c>
      <c r="AK43" s="1" t="s">
        <v>81</v>
      </c>
      <c r="AL43" s="6">
        <v>-1</v>
      </c>
      <c r="AM43" s="6">
        <v>-1</v>
      </c>
      <c r="AN43" s="1">
        <v>-1</v>
      </c>
      <c r="AO43" s="1">
        <v>-1</v>
      </c>
      <c r="AP43" s="1">
        <v>-1</v>
      </c>
      <c r="AQ43" s="1">
        <v>-1</v>
      </c>
      <c r="AR43" s="1" t="s">
        <v>131</v>
      </c>
      <c r="AS43" s="1" t="s">
        <v>132</v>
      </c>
      <c r="AT43" s="1" t="s">
        <v>75</v>
      </c>
      <c r="AU43" s="1" t="s">
        <v>84</v>
      </c>
      <c r="AV43" s="1" t="s">
        <v>85</v>
      </c>
      <c r="AW43" s="1" t="s">
        <v>86</v>
      </c>
      <c r="AX43" s="1" t="s">
        <v>87</v>
      </c>
    </row>
    <row r="44" spans="1:50" ht="15" customHeight="1">
      <c r="A44" s="1">
        <v>2006</v>
      </c>
      <c r="B44" s="1" t="s">
        <v>70</v>
      </c>
      <c r="C44" s="1" t="s">
        <v>211</v>
      </c>
      <c r="D44" s="1" t="s">
        <v>72</v>
      </c>
      <c r="E44" s="1" t="s">
        <v>139</v>
      </c>
      <c r="F44" s="4">
        <v>38890</v>
      </c>
      <c r="G44" s="1" t="s">
        <v>89</v>
      </c>
      <c r="H44" s="1" t="s">
        <v>166</v>
      </c>
      <c r="I44" s="1" t="s">
        <v>140</v>
      </c>
      <c r="J44" s="5">
        <v>2</v>
      </c>
      <c r="K44" s="5">
        <v>2</v>
      </c>
      <c r="L44" s="1" t="s">
        <v>177</v>
      </c>
      <c r="M44" s="1" t="s">
        <v>108</v>
      </c>
      <c r="N44" s="1" t="s">
        <v>109</v>
      </c>
      <c r="O44" s="1"/>
      <c r="P44" s="1" t="s">
        <v>110</v>
      </c>
      <c r="Q44" s="2" t="b">
        <v>0</v>
      </c>
      <c r="R44" s="2" t="b">
        <v>0</v>
      </c>
      <c r="S44" s="1" t="s">
        <v>79</v>
      </c>
      <c r="T44" s="5"/>
      <c r="U44" s="5"/>
      <c r="V44" s="5"/>
      <c r="W44" s="1" t="s">
        <v>80</v>
      </c>
      <c r="X44" s="5">
        <v>4</v>
      </c>
      <c r="Y44" s="5">
        <v>1</v>
      </c>
      <c r="Z44" s="5">
        <v>5</v>
      </c>
      <c r="AA44" s="5">
        <v>0</v>
      </c>
      <c r="AB44" s="5">
        <v>0</v>
      </c>
      <c r="AC44" s="5">
        <v>0</v>
      </c>
      <c r="AD44" s="5">
        <v>2</v>
      </c>
      <c r="AE44" s="5">
        <v>1</v>
      </c>
      <c r="AF44" s="5">
        <v>3</v>
      </c>
      <c r="AG44" s="5">
        <v>2</v>
      </c>
      <c r="AH44" s="5">
        <v>1</v>
      </c>
      <c r="AI44" s="5">
        <v>3</v>
      </c>
      <c r="AJ44" s="5">
        <v>8</v>
      </c>
      <c r="AK44" s="1" t="s">
        <v>81</v>
      </c>
      <c r="AL44" s="6">
        <v>-1</v>
      </c>
      <c r="AM44" s="6">
        <v>-1</v>
      </c>
      <c r="AN44" s="1">
        <v>-1</v>
      </c>
      <c r="AO44" s="1">
        <v>-1</v>
      </c>
      <c r="AP44" s="1">
        <v>-1</v>
      </c>
      <c r="AQ44" s="1">
        <v>-1</v>
      </c>
      <c r="AR44" s="1" t="s">
        <v>162</v>
      </c>
      <c r="AS44" s="1" t="s">
        <v>163</v>
      </c>
      <c r="AT44" s="1" t="s">
        <v>75</v>
      </c>
      <c r="AU44" s="1" t="s">
        <v>84</v>
      </c>
      <c r="AV44" s="1" t="s">
        <v>85</v>
      </c>
      <c r="AW44" s="1" t="s">
        <v>86</v>
      </c>
      <c r="AX44" s="1" t="s">
        <v>87</v>
      </c>
    </row>
    <row r="45" spans="1:50" ht="15" customHeight="1">
      <c r="A45" s="1">
        <v>2006</v>
      </c>
      <c r="B45" s="1" t="s">
        <v>70</v>
      </c>
      <c r="C45" s="1" t="s">
        <v>212</v>
      </c>
      <c r="D45" s="1" t="s">
        <v>72</v>
      </c>
      <c r="E45" s="1" t="s">
        <v>139</v>
      </c>
      <c r="F45" s="4">
        <v>38890</v>
      </c>
      <c r="G45" s="1" t="s">
        <v>89</v>
      </c>
      <c r="H45" s="1" t="s">
        <v>141</v>
      </c>
      <c r="I45" s="1" t="s">
        <v>165</v>
      </c>
      <c r="J45" s="5">
        <v>1</v>
      </c>
      <c r="K45" s="5">
        <v>4</v>
      </c>
      <c r="L45" s="1" t="s">
        <v>213</v>
      </c>
      <c r="M45" s="1" t="s">
        <v>93</v>
      </c>
      <c r="N45" s="1" t="s">
        <v>165</v>
      </c>
      <c r="O45" s="1" t="s">
        <v>165</v>
      </c>
      <c r="P45" s="1" t="s">
        <v>31</v>
      </c>
      <c r="Q45" s="2" t="b">
        <v>0</v>
      </c>
      <c r="R45" s="2" t="b">
        <v>0</v>
      </c>
      <c r="S45" s="1" t="s">
        <v>79</v>
      </c>
      <c r="T45" s="5"/>
      <c r="U45" s="5"/>
      <c r="V45" s="5"/>
      <c r="W45" s="1" t="s">
        <v>80</v>
      </c>
      <c r="X45" s="5">
        <v>1</v>
      </c>
      <c r="Y45" s="5">
        <v>1</v>
      </c>
      <c r="Z45" s="5">
        <v>2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2</v>
      </c>
      <c r="AK45" s="1" t="s">
        <v>81</v>
      </c>
      <c r="AL45" s="6">
        <v>-1</v>
      </c>
      <c r="AM45" s="6">
        <v>-1</v>
      </c>
      <c r="AN45" s="1">
        <v>-1</v>
      </c>
      <c r="AO45" s="1">
        <v>-1</v>
      </c>
      <c r="AP45" s="1">
        <v>-1</v>
      </c>
      <c r="AQ45" s="1">
        <v>-1</v>
      </c>
      <c r="AR45" s="1" t="s">
        <v>111</v>
      </c>
      <c r="AS45" s="1" t="s">
        <v>112</v>
      </c>
      <c r="AT45" s="1" t="s">
        <v>75</v>
      </c>
      <c r="AU45" s="1" t="s">
        <v>84</v>
      </c>
      <c r="AV45" s="1" t="s">
        <v>85</v>
      </c>
      <c r="AW45" s="1" t="s">
        <v>86</v>
      </c>
      <c r="AX45" s="1" t="s">
        <v>87</v>
      </c>
    </row>
    <row r="46" spans="1:50" ht="15" customHeight="1">
      <c r="A46" s="1">
        <v>2006</v>
      </c>
      <c r="B46" s="1" t="s">
        <v>70</v>
      </c>
      <c r="C46" s="1" t="s">
        <v>214</v>
      </c>
      <c r="D46" s="1" t="s">
        <v>72</v>
      </c>
      <c r="E46" s="1" t="s">
        <v>170</v>
      </c>
      <c r="F46" s="4">
        <v>38891</v>
      </c>
      <c r="G46" s="1" t="s">
        <v>199</v>
      </c>
      <c r="H46" s="1" t="s">
        <v>176</v>
      </c>
      <c r="I46" s="1" t="s">
        <v>171</v>
      </c>
      <c r="J46" s="5">
        <v>0</v>
      </c>
      <c r="K46" s="5">
        <v>1</v>
      </c>
      <c r="L46" s="1" t="s">
        <v>123</v>
      </c>
      <c r="M46" s="1" t="s">
        <v>93</v>
      </c>
      <c r="N46" s="1" t="s">
        <v>171</v>
      </c>
      <c r="O46" s="1" t="s">
        <v>171</v>
      </c>
      <c r="P46" s="1" t="s">
        <v>31</v>
      </c>
      <c r="Q46" s="2" t="b">
        <v>0</v>
      </c>
      <c r="R46" s="2" t="b">
        <v>0</v>
      </c>
      <c r="S46" s="1" t="s">
        <v>79</v>
      </c>
      <c r="T46" s="5"/>
      <c r="U46" s="5"/>
      <c r="V46" s="5"/>
      <c r="W46" s="1" t="s">
        <v>80</v>
      </c>
      <c r="X46" s="5">
        <v>2</v>
      </c>
      <c r="Y46" s="5">
        <v>3</v>
      </c>
      <c r="Z46" s="5">
        <v>5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5</v>
      </c>
      <c r="AK46" s="1" t="s">
        <v>81</v>
      </c>
      <c r="AL46" s="6">
        <v>-1</v>
      </c>
      <c r="AM46" s="6">
        <v>-1</v>
      </c>
      <c r="AN46" s="1">
        <v>-1</v>
      </c>
      <c r="AO46" s="1">
        <v>-1</v>
      </c>
      <c r="AP46" s="1">
        <v>-1</v>
      </c>
      <c r="AQ46" s="1">
        <v>-1</v>
      </c>
      <c r="AR46" s="1" t="s">
        <v>142</v>
      </c>
      <c r="AS46" s="1" t="s">
        <v>143</v>
      </c>
      <c r="AT46" s="1" t="s">
        <v>75</v>
      </c>
      <c r="AU46" s="1" t="s">
        <v>84</v>
      </c>
      <c r="AV46" s="1" t="s">
        <v>85</v>
      </c>
      <c r="AW46" s="1" t="s">
        <v>86</v>
      </c>
      <c r="AX46" s="1" t="s">
        <v>87</v>
      </c>
    </row>
    <row r="47" spans="1:50" ht="15" customHeight="1">
      <c r="A47" s="1">
        <v>2006</v>
      </c>
      <c r="B47" s="1" t="s">
        <v>70</v>
      </c>
      <c r="C47" s="1" t="s">
        <v>215</v>
      </c>
      <c r="D47" s="1" t="s">
        <v>72</v>
      </c>
      <c r="E47" s="1" t="s">
        <v>170</v>
      </c>
      <c r="F47" s="4">
        <v>38891</v>
      </c>
      <c r="G47" s="1" t="s">
        <v>199</v>
      </c>
      <c r="H47" s="1" t="s">
        <v>172</v>
      </c>
      <c r="I47" s="1" t="s">
        <v>175</v>
      </c>
      <c r="J47" s="5">
        <v>1</v>
      </c>
      <c r="K47" s="5">
        <v>0</v>
      </c>
      <c r="L47" s="1" t="s">
        <v>101</v>
      </c>
      <c r="M47" s="1" t="s">
        <v>78</v>
      </c>
      <c r="N47" s="1" t="s">
        <v>172</v>
      </c>
      <c r="O47" s="1" t="s">
        <v>172</v>
      </c>
      <c r="P47" s="1" t="s">
        <v>31</v>
      </c>
      <c r="Q47" s="2" t="b">
        <v>0</v>
      </c>
      <c r="R47" s="2" t="b">
        <v>0</v>
      </c>
      <c r="S47" s="1" t="s">
        <v>79</v>
      </c>
      <c r="T47" s="5"/>
      <c r="U47" s="5"/>
      <c r="V47" s="5"/>
      <c r="W47" s="1" t="s">
        <v>80</v>
      </c>
      <c r="X47" s="5">
        <v>4</v>
      </c>
      <c r="Y47" s="5">
        <v>3</v>
      </c>
      <c r="Z47" s="5">
        <v>7</v>
      </c>
      <c r="AA47" s="5">
        <v>0</v>
      </c>
      <c r="AB47" s="5">
        <v>0</v>
      </c>
      <c r="AC47" s="5">
        <v>0</v>
      </c>
      <c r="AD47" s="5">
        <v>0</v>
      </c>
      <c r="AE47" s="5">
        <v>1</v>
      </c>
      <c r="AF47" s="5">
        <v>1</v>
      </c>
      <c r="AG47" s="5">
        <v>0</v>
      </c>
      <c r="AH47" s="5">
        <v>1</v>
      </c>
      <c r="AI47" s="5">
        <v>1</v>
      </c>
      <c r="AJ47" s="5">
        <v>8</v>
      </c>
      <c r="AK47" s="1" t="s">
        <v>81</v>
      </c>
      <c r="AL47" s="6">
        <v>-1</v>
      </c>
      <c r="AM47" s="6">
        <v>-1</v>
      </c>
      <c r="AN47" s="1">
        <v>-1</v>
      </c>
      <c r="AO47" s="1">
        <v>-1</v>
      </c>
      <c r="AP47" s="1">
        <v>-1</v>
      </c>
      <c r="AQ47" s="1">
        <v>-1</v>
      </c>
      <c r="AR47" s="1" t="s">
        <v>167</v>
      </c>
      <c r="AS47" s="1" t="s">
        <v>168</v>
      </c>
      <c r="AT47" s="1" t="s">
        <v>75</v>
      </c>
      <c r="AU47" s="1" t="s">
        <v>84</v>
      </c>
      <c r="AV47" s="1" t="s">
        <v>85</v>
      </c>
      <c r="AW47" s="1" t="s">
        <v>86</v>
      </c>
      <c r="AX47" s="1" t="s">
        <v>87</v>
      </c>
    </row>
    <row r="48" spans="1:50" ht="15" customHeight="1">
      <c r="A48" s="1">
        <v>2006</v>
      </c>
      <c r="B48" s="1" t="s">
        <v>70</v>
      </c>
      <c r="C48" s="1" t="s">
        <v>216</v>
      </c>
      <c r="D48" s="1" t="s">
        <v>72</v>
      </c>
      <c r="E48" s="1" t="s">
        <v>156</v>
      </c>
      <c r="F48" s="4">
        <v>38891</v>
      </c>
      <c r="G48" s="1" t="s">
        <v>89</v>
      </c>
      <c r="H48" s="1" t="s">
        <v>161</v>
      </c>
      <c r="I48" s="1" t="s">
        <v>157</v>
      </c>
      <c r="J48" s="5">
        <v>2</v>
      </c>
      <c r="K48" s="5">
        <v>0</v>
      </c>
      <c r="L48" s="1" t="s">
        <v>152</v>
      </c>
      <c r="M48" s="1" t="s">
        <v>78</v>
      </c>
      <c r="N48" s="1" t="s">
        <v>161</v>
      </c>
      <c r="O48" s="1" t="s">
        <v>161</v>
      </c>
      <c r="P48" s="1" t="s">
        <v>31</v>
      </c>
      <c r="Q48" s="2" t="b">
        <v>0</v>
      </c>
      <c r="R48" s="2" t="b">
        <v>0</v>
      </c>
      <c r="S48" s="1" t="s">
        <v>79</v>
      </c>
      <c r="T48" s="5"/>
      <c r="U48" s="5"/>
      <c r="V48" s="5"/>
      <c r="W48" s="1" t="s">
        <v>80</v>
      </c>
      <c r="X48" s="5">
        <v>5</v>
      </c>
      <c r="Y48" s="5">
        <v>5</v>
      </c>
      <c r="Z48" s="5">
        <v>10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10</v>
      </c>
      <c r="AK48" s="1" t="s">
        <v>81</v>
      </c>
      <c r="AL48" s="6">
        <v>-1</v>
      </c>
      <c r="AM48" s="6">
        <v>-1</v>
      </c>
      <c r="AN48" s="1">
        <v>-1</v>
      </c>
      <c r="AO48" s="1">
        <v>-1</v>
      </c>
      <c r="AP48" s="1">
        <v>-1</v>
      </c>
      <c r="AQ48" s="1">
        <v>-1</v>
      </c>
      <c r="AR48" s="1" t="s">
        <v>153</v>
      </c>
      <c r="AS48" s="1" t="s">
        <v>154</v>
      </c>
      <c r="AT48" s="1" t="s">
        <v>75</v>
      </c>
      <c r="AU48" s="1" t="s">
        <v>84</v>
      </c>
      <c r="AV48" s="1" t="s">
        <v>85</v>
      </c>
      <c r="AW48" s="1" t="s">
        <v>86</v>
      </c>
      <c r="AX48" s="1" t="s">
        <v>87</v>
      </c>
    </row>
    <row r="49" spans="1:50" ht="15" customHeight="1">
      <c r="A49" s="1">
        <v>2006</v>
      </c>
      <c r="B49" s="1" t="s">
        <v>70</v>
      </c>
      <c r="C49" s="1" t="s">
        <v>217</v>
      </c>
      <c r="D49" s="1" t="s">
        <v>72</v>
      </c>
      <c r="E49" s="1" t="s">
        <v>156</v>
      </c>
      <c r="F49" s="4">
        <v>38891</v>
      </c>
      <c r="G49" s="1" t="s">
        <v>89</v>
      </c>
      <c r="H49" s="1" t="s">
        <v>158</v>
      </c>
      <c r="I49" s="1" t="s">
        <v>160</v>
      </c>
      <c r="J49" s="5">
        <v>0</v>
      </c>
      <c r="K49" s="5">
        <v>2</v>
      </c>
      <c r="L49" s="1" t="s">
        <v>92</v>
      </c>
      <c r="M49" s="1" t="s">
        <v>93</v>
      </c>
      <c r="N49" s="1" t="s">
        <v>160</v>
      </c>
      <c r="O49" s="1" t="s">
        <v>160</v>
      </c>
      <c r="P49" s="1" t="s">
        <v>31</v>
      </c>
      <c r="Q49" s="2" t="b">
        <v>0</v>
      </c>
      <c r="R49" s="2" t="b">
        <v>0</v>
      </c>
      <c r="S49" s="1" t="s">
        <v>79</v>
      </c>
      <c r="T49" s="5"/>
      <c r="U49" s="5"/>
      <c r="V49" s="5"/>
      <c r="W49" s="1" t="s">
        <v>80</v>
      </c>
      <c r="X49" s="5">
        <v>3</v>
      </c>
      <c r="Y49" s="5">
        <v>1</v>
      </c>
      <c r="Z49" s="5">
        <v>4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4</v>
      </c>
      <c r="AK49" s="1" t="s">
        <v>81</v>
      </c>
      <c r="AL49" s="6">
        <v>-1</v>
      </c>
      <c r="AM49" s="6">
        <v>-1</v>
      </c>
      <c r="AN49" s="1">
        <v>-1</v>
      </c>
      <c r="AO49" s="1">
        <v>-1</v>
      </c>
      <c r="AP49" s="1">
        <v>-1</v>
      </c>
      <c r="AQ49" s="1">
        <v>-1</v>
      </c>
      <c r="AR49" s="1" t="s">
        <v>136</v>
      </c>
      <c r="AS49" s="1" t="s">
        <v>137</v>
      </c>
      <c r="AT49" s="1" t="s">
        <v>75</v>
      </c>
      <c r="AU49" s="1" t="s">
        <v>84</v>
      </c>
      <c r="AV49" s="1" t="s">
        <v>85</v>
      </c>
      <c r="AW49" s="1" t="s">
        <v>86</v>
      </c>
      <c r="AX49" s="1" t="s">
        <v>87</v>
      </c>
    </row>
    <row r="50" spans="1:50" ht="15" customHeight="1">
      <c r="A50" s="1">
        <v>2006</v>
      </c>
      <c r="B50" s="1" t="s">
        <v>70</v>
      </c>
      <c r="C50" s="1" t="s">
        <v>218</v>
      </c>
      <c r="D50" s="1" t="s">
        <v>219</v>
      </c>
      <c r="E50" s="1" t="s">
        <v>220</v>
      </c>
      <c r="F50" s="4">
        <v>38892</v>
      </c>
      <c r="G50" s="1" t="s">
        <v>221</v>
      </c>
      <c r="H50" s="1" t="s">
        <v>75</v>
      </c>
      <c r="I50" s="1" t="s">
        <v>106</v>
      </c>
      <c r="J50" s="5">
        <v>2</v>
      </c>
      <c r="K50" s="5">
        <v>0</v>
      </c>
      <c r="L50" s="1" t="s">
        <v>152</v>
      </c>
      <c r="M50" s="1" t="s">
        <v>78</v>
      </c>
      <c r="N50" s="1" t="s">
        <v>75</v>
      </c>
      <c r="O50" s="1" t="s">
        <v>75</v>
      </c>
      <c r="P50" s="1" t="s">
        <v>31</v>
      </c>
      <c r="Q50" s="2" t="b">
        <v>0</v>
      </c>
      <c r="R50" s="2" t="b">
        <v>0</v>
      </c>
      <c r="S50" s="1" t="s">
        <v>79</v>
      </c>
      <c r="T50" s="5"/>
      <c r="U50" s="5"/>
      <c r="V50" s="5"/>
      <c r="W50" s="1" t="s">
        <v>80</v>
      </c>
      <c r="X50" s="5">
        <v>1</v>
      </c>
      <c r="Y50" s="5">
        <v>3</v>
      </c>
      <c r="Z50" s="5">
        <v>4</v>
      </c>
      <c r="AA50" s="5">
        <v>0</v>
      </c>
      <c r="AB50" s="5">
        <v>0</v>
      </c>
      <c r="AC50" s="5">
        <v>0</v>
      </c>
      <c r="AD50" s="5">
        <v>0</v>
      </c>
      <c r="AE50" s="5">
        <v>1</v>
      </c>
      <c r="AF50" s="5">
        <v>1</v>
      </c>
      <c r="AG50" s="5">
        <v>0</v>
      </c>
      <c r="AH50" s="5">
        <v>1</v>
      </c>
      <c r="AI50" s="5">
        <v>1</v>
      </c>
      <c r="AJ50" s="5">
        <v>5</v>
      </c>
      <c r="AK50" s="1" t="s">
        <v>81</v>
      </c>
      <c r="AL50" s="6">
        <v>-1</v>
      </c>
      <c r="AM50" s="6">
        <v>-1</v>
      </c>
      <c r="AN50" s="1">
        <v>-1</v>
      </c>
      <c r="AO50" s="1">
        <v>-1</v>
      </c>
      <c r="AP50" s="1">
        <v>-1</v>
      </c>
      <c r="AQ50" s="1">
        <v>-1</v>
      </c>
      <c r="AR50" s="1" t="s">
        <v>82</v>
      </c>
      <c r="AS50" s="1" t="s">
        <v>83</v>
      </c>
      <c r="AT50" s="1" t="s">
        <v>75</v>
      </c>
      <c r="AU50" s="1" t="s">
        <v>84</v>
      </c>
      <c r="AV50" s="1" t="s">
        <v>85</v>
      </c>
      <c r="AW50" s="1" t="s">
        <v>86</v>
      </c>
      <c r="AX50" s="1" t="s">
        <v>87</v>
      </c>
    </row>
    <row r="51" spans="1:50" ht="15" customHeight="1">
      <c r="A51" s="1">
        <v>2006</v>
      </c>
      <c r="B51" s="1" t="s">
        <v>70</v>
      </c>
      <c r="C51" s="1" t="s">
        <v>222</v>
      </c>
      <c r="D51" s="1" t="s">
        <v>219</v>
      </c>
      <c r="E51" s="1" t="s">
        <v>220</v>
      </c>
      <c r="F51" s="4">
        <v>38892</v>
      </c>
      <c r="G51" s="1" t="s">
        <v>89</v>
      </c>
      <c r="H51" s="1" t="s">
        <v>115</v>
      </c>
      <c r="I51" s="1" t="s">
        <v>128</v>
      </c>
      <c r="J51" s="5">
        <v>2</v>
      </c>
      <c r="K51" s="5">
        <v>1</v>
      </c>
      <c r="L51" s="1" t="s">
        <v>117</v>
      </c>
      <c r="M51" s="1" t="s">
        <v>78</v>
      </c>
      <c r="N51" s="1" t="s">
        <v>115</v>
      </c>
      <c r="O51" s="1" t="s">
        <v>115</v>
      </c>
      <c r="P51" s="1" t="s">
        <v>223</v>
      </c>
      <c r="Q51" s="2" t="b">
        <v>1</v>
      </c>
      <c r="R51" s="2" t="b">
        <v>0</v>
      </c>
      <c r="S51" s="1" t="s">
        <v>79</v>
      </c>
      <c r="T51" s="5"/>
      <c r="U51" s="5"/>
      <c r="V51" s="5"/>
      <c r="W51" s="1" t="s">
        <v>80</v>
      </c>
      <c r="X51" s="5">
        <v>2</v>
      </c>
      <c r="Y51" s="5">
        <v>4</v>
      </c>
      <c r="Z51" s="5">
        <v>6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6</v>
      </c>
      <c r="AK51" s="1" t="s">
        <v>81</v>
      </c>
      <c r="AL51" s="6">
        <v>-1</v>
      </c>
      <c r="AM51" s="6">
        <v>-1</v>
      </c>
      <c r="AN51" s="1">
        <v>-1</v>
      </c>
      <c r="AO51" s="1">
        <v>-1</v>
      </c>
      <c r="AP51" s="1">
        <v>-1</v>
      </c>
      <c r="AQ51" s="1">
        <v>-1</v>
      </c>
      <c r="AR51" s="1" t="s">
        <v>124</v>
      </c>
      <c r="AS51" s="1" t="s">
        <v>125</v>
      </c>
      <c r="AT51" s="1" t="s">
        <v>75</v>
      </c>
      <c r="AU51" s="1" t="s">
        <v>84</v>
      </c>
      <c r="AV51" s="1" t="s">
        <v>85</v>
      </c>
      <c r="AW51" s="1" t="s">
        <v>86</v>
      </c>
      <c r="AX51" s="1" t="s">
        <v>87</v>
      </c>
    </row>
    <row r="52" spans="1:50" ht="15" customHeight="1">
      <c r="A52" s="1">
        <v>2006</v>
      </c>
      <c r="B52" s="1" t="s">
        <v>70</v>
      </c>
      <c r="C52" s="1" t="s">
        <v>224</v>
      </c>
      <c r="D52" s="1" t="s">
        <v>219</v>
      </c>
      <c r="E52" s="1" t="s">
        <v>220</v>
      </c>
      <c r="F52" s="4">
        <v>38893</v>
      </c>
      <c r="G52" s="1" t="s">
        <v>221</v>
      </c>
      <c r="H52" s="1" t="s">
        <v>99</v>
      </c>
      <c r="I52" s="1" t="s">
        <v>91</v>
      </c>
      <c r="J52" s="5">
        <v>1</v>
      </c>
      <c r="K52" s="5">
        <v>0</v>
      </c>
      <c r="L52" s="1" t="s">
        <v>101</v>
      </c>
      <c r="M52" s="1" t="s">
        <v>78</v>
      </c>
      <c r="N52" s="1" t="s">
        <v>99</v>
      </c>
      <c r="O52" s="1" t="s">
        <v>99</v>
      </c>
      <c r="P52" s="1" t="s">
        <v>31</v>
      </c>
      <c r="Q52" s="2" t="b">
        <v>0</v>
      </c>
      <c r="R52" s="2" t="b">
        <v>0</v>
      </c>
      <c r="S52" s="1" t="s">
        <v>79</v>
      </c>
      <c r="T52" s="5"/>
      <c r="U52" s="5"/>
      <c r="V52" s="5"/>
      <c r="W52" s="1" t="s">
        <v>80</v>
      </c>
      <c r="X52" s="5">
        <v>3</v>
      </c>
      <c r="Y52" s="5">
        <v>3</v>
      </c>
      <c r="Z52" s="5">
        <v>6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6</v>
      </c>
      <c r="AK52" s="1" t="s">
        <v>81</v>
      </c>
      <c r="AL52" s="6">
        <v>-1</v>
      </c>
      <c r="AM52" s="6">
        <v>-1</v>
      </c>
      <c r="AN52" s="1">
        <v>-1</v>
      </c>
      <c r="AO52" s="1">
        <v>-1</v>
      </c>
      <c r="AP52" s="1">
        <v>-1</v>
      </c>
      <c r="AQ52" s="1">
        <v>-1</v>
      </c>
      <c r="AR52" s="1" t="s">
        <v>162</v>
      </c>
      <c r="AS52" s="1" t="s">
        <v>163</v>
      </c>
      <c r="AT52" s="1" t="s">
        <v>75</v>
      </c>
      <c r="AU52" s="1" t="s">
        <v>84</v>
      </c>
      <c r="AV52" s="1" t="s">
        <v>85</v>
      </c>
      <c r="AW52" s="1" t="s">
        <v>86</v>
      </c>
      <c r="AX52" s="1" t="s">
        <v>87</v>
      </c>
    </row>
    <row r="53" spans="1:50" ht="15" customHeight="1">
      <c r="A53" s="1">
        <v>2006</v>
      </c>
      <c r="B53" s="1" t="s">
        <v>70</v>
      </c>
      <c r="C53" s="1" t="s">
        <v>225</v>
      </c>
      <c r="D53" s="1" t="s">
        <v>219</v>
      </c>
      <c r="E53" s="1" t="s">
        <v>220</v>
      </c>
      <c r="F53" s="4">
        <v>38893</v>
      </c>
      <c r="G53" s="1" t="s">
        <v>89</v>
      </c>
      <c r="H53" s="1" t="s">
        <v>135</v>
      </c>
      <c r="I53" s="1" t="s">
        <v>122</v>
      </c>
      <c r="J53" s="5">
        <v>1</v>
      </c>
      <c r="K53" s="5">
        <v>0</v>
      </c>
      <c r="L53" s="1" t="s">
        <v>101</v>
      </c>
      <c r="M53" s="1" t="s">
        <v>78</v>
      </c>
      <c r="N53" s="1" t="s">
        <v>135</v>
      </c>
      <c r="O53" s="1" t="s">
        <v>135</v>
      </c>
      <c r="P53" s="1" t="s">
        <v>31</v>
      </c>
      <c r="Q53" s="2" t="b">
        <v>0</v>
      </c>
      <c r="R53" s="2" t="b">
        <v>0</v>
      </c>
      <c r="S53" s="1" t="s">
        <v>79</v>
      </c>
      <c r="T53" s="5"/>
      <c r="U53" s="5"/>
      <c r="V53" s="5"/>
      <c r="W53" s="1" t="s">
        <v>80</v>
      </c>
      <c r="X53" s="5">
        <v>7</v>
      </c>
      <c r="Y53" s="5">
        <v>5</v>
      </c>
      <c r="Z53" s="5">
        <v>12</v>
      </c>
      <c r="AA53" s="5">
        <v>0</v>
      </c>
      <c r="AB53" s="5">
        <v>0</v>
      </c>
      <c r="AC53" s="5">
        <v>0</v>
      </c>
      <c r="AD53" s="5">
        <v>2</v>
      </c>
      <c r="AE53" s="5">
        <v>2</v>
      </c>
      <c r="AF53" s="5">
        <v>4</v>
      </c>
      <c r="AG53" s="5">
        <v>2</v>
      </c>
      <c r="AH53" s="5">
        <v>2</v>
      </c>
      <c r="AI53" s="5">
        <v>4</v>
      </c>
      <c r="AJ53" s="5">
        <v>16</v>
      </c>
      <c r="AK53" s="1" t="s">
        <v>81</v>
      </c>
      <c r="AL53" s="6">
        <v>-1</v>
      </c>
      <c r="AM53" s="6">
        <v>-1</v>
      </c>
      <c r="AN53" s="1">
        <v>-1</v>
      </c>
      <c r="AO53" s="1">
        <v>-1</v>
      </c>
      <c r="AP53" s="1">
        <v>-1</v>
      </c>
      <c r="AQ53" s="1">
        <v>-1</v>
      </c>
      <c r="AR53" s="1" t="s">
        <v>131</v>
      </c>
      <c r="AS53" s="1" t="s">
        <v>132</v>
      </c>
      <c r="AT53" s="1" t="s">
        <v>75</v>
      </c>
      <c r="AU53" s="1" t="s">
        <v>84</v>
      </c>
      <c r="AV53" s="1" t="s">
        <v>85</v>
      </c>
      <c r="AW53" s="1" t="s">
        <v>86</v>
      </c>
      <c r="AX53" s="1" t="s">
        <v>87</v>
      </c>
    </row>
    <row r="54" spans="1:50" ht="15" customHeight="1">
      <c r="A54" s="1">
        <v>2006</v>
      </c>
      <c r="B54" s="1" t="s">
        <v>70</v>
      </c>
      <c r="C54" s="1" t="s">
        <v>226</v>
      </c>
      <c r="D54" s="1" t="s">
        <v>219</v>
      </c>
      <c r="E54" s="1" t="s">
        <v>220</v>
      </c>
      <c r="F54" s="4">
        <v>38894</v>
      </c>
      <c r="G54" s="1" t="s">
        <v>221</v>
      </c>
      <c r="H54" s="1" t="s">
        <v>150</v>
      </c>
      <c r="I54" s="1" t="s">
        <v>140</v>
      </c>
      <c r="J54" s="5">
        <v>1</v>
      </c>
      <c r="K54" s="5">
        <v>0</v>
      </c>
      <c r="L54" s="1" t="s">
        <v>101</v>
      </c>
      <c r="M54" s="1" t="s">
        <v>78</v>
      </c>
      <c r="N54" s="1" t="s">
        <v>150</v>
      </c>
      <c r="O54" s="1" t="s">
        <v>150</v>
      </c>
      <c r="P54" s="1" t="s">
        <v>31</v>
      </c>
      <c r="Q54" s="2" t="b">
        <v>0</v>
      </c>
      <c r="R54" s="2" t="b">
        <v>0</v>
      </c>
      <c r="S54" s="1" t="s">
        <v>79</v>
      </c>
      <c r="T54" s="5"/>
      <c r="U54" s="5"/>
      <c r="V54" s="5"/>
      <c r="W54" s="1" t="s">
        <v>80</v>
      </c>
      <c r="X54" s="5">
        <v>3</v>
      </c>
      <c r="Y54" s="5">
        <v>3</v>
      </c>
      <c r="Z54" s="5">
        <v>6</v>
      </c>
      <c r="AA54" s="5">
        <v>1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5">
        <v>1</v>
      </c>
      <c r="AH54" s="5">
        <v>0</v>
      </c>
      <c r="AI54" s="5">
        <v>1</v>
      </c>
      <c r="AJ54" s="5">
        <v>7</v>
      </c>
      <c r="AK54" s="1" t="s">
        <v>81</v>
      </c>
      <c r="AL54" s="6">
        <v>-1</v>
      </c>
      <c r="AM54" s="6">
        <v>-1</v>
      </c>
      <c r="AN54" s="1">
        <v>-1</v>
      </c>
      <c r="AO54" s="1">
        <v>-1</v>
      </c>
      <c r="AP54" s="1">
        <v>-1</v>
      </c>
      <c r="AQ54" s="1">
        <v>-1</v>
      </c>
      <c r="AR54" s="1" t="s">
        <v>142</v>
      </c>
      <c r="AS54" s="1" t="s">
        <v>143</v>
      </c>
      <c r="AT54" s="1" t="s">
        <v>75</v>
      </c>
      <c r="AU54" s="1" t="s">
        <v>84</v>
      </c>
      <c r="AV54" s="1" t="s">
        <v>85</v>
      </c>
      <c r="AW54" s="1" t="s">
        <v>86</v>
      </c>
      <c r="AX54" s="1" t="s">
        <v>87</v>
      </c>
    </row>
    <row r="55" spans="1:50" ht="15" customHeight="1">
      <c r="A55" s="1">
        <v>2006</v>
      </c>
      <c r="B55" s="1" t="s">
        <v>70</v>
      </c>
      <c r="C55" s="1" t="s">
        <v>227</v>
      </c>
      <c r="D55" s="1" t="s">
        <v>219</v>
      </c>
      <c r="E55" s="1" t="s">
        <v>220</v>
      </c>
      <c r="F55" s="4">
        <v>38894</v>
      </c>
      <c r="G55" s="1" t="s">
        <v>89</v>
      </c>
      <c r="H55" s="1" t="s">
        <v>161</v>
      </c>
      <c r="I55" s="1" t="s">
        <v>172</v>
      </c>
      <c r="J55" s="5">
        <v>0</v>
      </c>
      <c r="K55" s="5">
        <v>0</v>
      </c>
      <c r="L55" s="1" t="s">
        <v>107</v>
      </c>
      <c r="M55" s="1" t="s">
        <v>108</v>
      </c>
      <c r="N55" s="1" t="s">
        <v>172</v>
      </c>
      <c r="O55" s="1" t="s">
        <v>172</v>
      </c>
      <c r="P55" s="1" t="s">
        <v>228</v>
      </c>
      <c r="Q55" s="2" t="b">
        <v>1</v>
      </c>
      <c r="R55" s="2" t="b">
        <v>1</v>
      </c>
      <c r="S55" s="1" t="s">
        <v>148</v>
      </c>
      <c r="T55" s="5"/>
      <c r="U55" s="5"/>
      <c r="V55" s="5"/>
      <c r="W55" s="1" t="s">
        <v>80</v>
      </c>
      <c r="X55" s="5">
        <v>1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1</v>
      </c>
      <c r="AK55" s="1" t="s">
        <v>81</v>
      </c>
      <c r="AL55" s="6">
        <v>-1</v>
      </c>
      <c r="AM55" s="6">
        <v>-1</v>
      </c>
      <c r="AN55" s="1">
        <v>-1</v>
      </c>
      <c r="AO55" s="1">
        <v>-1</v>
      </c>
      <c r="AP55" s="1">
        <v>-1</v>
      </c>
      <c r="AQ55" s="1">
        <v>-1</v>
      </c>
      <c r="AR55" s="1" t="s">
        <v>136</v>
      </c>
      <c r="AS55" s="1" t="s">
        <v>137</v>
      </c>
      <c r="AT55" s="1" t="s">
        <v>75</v>
      </c>
      <c r="AU55" s="1" t="s">
        <v>84</v>
      </c>
      <c r="AV55" s="1" t="s">
        <v>85</v>
      </c>
      <c r="AW55" s="1" t="s">
        <v>86</v>
      </c>
      <c r="AX55" s="1" t="s">
        <v>87</v>
      </c>
    </row>
    <row r="56" spans="1:50" ht="15" customHeight="1">
      <c r="A56" s="1">
        <v>2006</v>
      </c>
      <c r="B56" s="1" t="s">
        <v>70</v>
      </c>
      <c r="C56" s="1" t="s">
        <v>229</v>
      </c>
      <c r="D56" s="1" t="s">
        <v>219</v>
      </c>
      <c r="E56" s="1" t="s">
        <v>220</v>
      </c>
      <c r="F56" s="4">
        <v>38895</v>
      </c>
      <c r="G56" s="1" t="s">
        <v>221</v>
      </c>
      <c r="H56" s="1" t="s">
        <v>165</v>
      </c>
      <c r="I56" s="1" t="s">
        <v>151</v>
      </c>
      <c r="J56" s="5">
        <v>3</v>
      </c>
      <c r="K56" s="5">
        <v>0</v>
      </c>
      <c r="L56" s="1" t="s">
        <v>180</v>
      </c>
      <c r="M56" s="1" t="s">
        <v>78</v>
      </c>
      <c r="N56" s="1" t="s">
        <v>165</v>
      </c>
      <c r="O56" s="1" t="s">
        <v>165</v>
      </c>
      <c r="P56" s="1" t="s">
        <v>31</v>
      </c>
      <c r="Q56" s="2" t="b">
        <v>0</v>
      </c>
      <c r="R56" s="2" t="b">
        <v>0</v>
      </c>
      <c r="S56" s="1" t="s">
        <v>79</v>
      </c>
      <c r="T56" s="5"/>
      <c r="U56" s="5"/>
      <c r="V56" s="5"/>
      <c r="W56" s="1" t="s">
        <v>80</v>
      </c>
      <c r="X56" s="5">
        <v>2</v>
      </c>
      <c r="Y56" s="5">
        <v>5</v>
      </c>
      <c r="Z56" s="5">
        <v>7</v>
      </c>
      <c r="AA56" s="5">
        <v>0</v>
      </c>
      <c r="AB56" s="5">
        <v>0</v>
      </c>
      <c r="AC56" s="5">
        <v>0</v>
      </c>
      <c r="AD56" s="5">
        <v>0</v>
      </c>
      <c r="AE56" s="5">
        <v>1</v>
      </c>
      <c r="AF56" s="5">
        <v>1</v>
      </c>
      <c r="AG56" s="5">
        <v>0</v>
      </c>
      <c r="AH56" s="5">
        <v>1</v>
      </c>
      <c r="AI56" s="5">
        <v>1</v>
      </c>
      <c r="AJ56" s="5">
        <v>8</v>
      </c>
      <c r="AK56" s="1" t="s">
        <v>81</v>
      </c>
      <c r="AL56" s="6">
        <v>-1</v>
      </c>
      <c r="AM56" s="6">
        <v>-1</v>
      </c>
      <c r="AN56" s="1">
        <v>-1</v>
      </c>
      <c r="AO56" s="1">
        <v>-1</v>
      </c>
      <c r="AP56" s="1">
        <v>-1</v>
      </c>
      <c r="AQ56" s="1">
        <v>-1</v>
      </c>
      <c r="AR56" s="1" t="s">
        <v>111</v>
      </c>
      <c r="AS56" s="1" t="s">
        <v>112</v>
      </c>
      <c r="AT56" s="1" t="s">
        <v>75</v>
      </c>
      <c r="AU56" s="1" t="s">
        <v>84</v>
      </c>
      <c r="AV56" s="1" t="s">
        <v>85</v>
      </c>
      <c r="AW56" s="1" t="s">
        <v>86</v>
      </c>
      <c r="AX56" s="1" t="s">
        <v>87</v>
      </c>
    </row>
    <row r="57" spans="1:50" ht="15" customHeight="1">
      <c r="A57" s="1">
        <v>2006</v>
      </c>
      <c r="B57" s="1" t="s">
        <v>70</v>
      </c>
      <c r="C57" s="1" t="s">
        <v>230</v>
      </c>
      <c r="D57" s="1" t="s">
        <v>219</v>
      </c>
      <c r="E57" s="1" t="s">
        <v>220</v>
      </c>
      <c r="F57" s="4">
        <v>38895</v>
      </c>
      <c r="G57" s="1" t="s">
        <v>89</v>
      </c>
      <c r="H57" s="1" t="s">
        <v>171</v>
      </c>
      <c r="I57" s="1" t="s">
        <v>160</v>
      </c>
      <c r="J57" s="5">
        <v>1</v>
      </c>
      <c r="K57" s="5">
        <v>3</v>
      </c>
      <c r="L57" s="1" t="s">
        <v>231</v>
      </c>
      <c r="M57" s="1" t="s">
        <v>93</v>
      </c>
      <c r="N57" s="1" t="s">
        <v>160</v>
      </c>
      <c r="O57" s="1" t="s">
        <v>160</v>
      </c>
      <c r="P57" s="1" t="s">
        <v>31</v>
      </c>
      <c r="Q57" s="2" t="b">
        <v>0</v>
      </c>
      <c r="R57" s="2" t="b">
        <v>0</v>
      </c>
      <c r="S57" s="1" t="s">
        <v>79</v>
      </c>
      <c r="T57" s="5"/>
      <c r="U57" s="5"/>
      <c r="V57" s="5"/>
      <c r="W57" s="1" t="s">
        <v>80</v>
      </c>
      <c r="X57" s="5">
        <v>1</v>
      </c>
      <c r="Y57" s="5">
        <v>3</v>
      </c>
      <c r="Z57" s="5">
        <v>4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4</v>
      </c>
      <c r="AK57" s="1" t="s">
        <v>81</v>
      </c>
      <c r="AL57" s="6">
        <v>-1</v>
      </c>
      <c r="AM57" s="6">
        <v>-1</v>
      </c>
      <c r="AN57" s="1">
        <v>-1</v>
      </c>
      <c r="AO57" s="1">
        <v>-1</v>
      </c>
      <c r="AP57" s="1">
        <v>-1</v>
      </c>
      <c r="AQ57" s="1">
        <v>-1</v>
      </c>
      <c r="AR57" s="1" t="s">
        <v>153</v>
      </c>
      <c r="AS57" s="1" t="s">
        <v>154</v>
      </c>
      <c r="AT57" s="1" t="s">
        <v>75</v>
      </c>
      <c r="AU57" s="1" t="s">
        <v>84</v>
      </c>
      <c r="AV57" s="1" t="s">
        <v>85</v>
      </c>
      <c r="AW57" s="1" t="s">
        <v>86</v>
      </c>
      <c r="AX57" s="1" t="s">
        <v>87</v>
      </c>
    </row>
    <row r="58" spans="1:50" ht="15" customHeight="1">
      <c r="A58" s="1">
        <v>2006</v>
      </c>
      <c r="B58" s="1" t="s">
        <v>70</v>
      </c>
      <c r="C58" s="1" t="s">
        <v>232</v>
      </c>
      <c r="D58" s="1" t="s">
        <v>233</v>
      </c>
      <c r="E58" s="1" t="s">
        <v>220</v>
      </c>
      <c r="F58" s="4">
        <v>38898</v>
      </c>
      <c r="G58" s="1" t="s">
        <v>221</v>
      </c>
      <c r="H58" s="1" t="s">
        <v>75</v>
      </c>
      <c r="I58" s="1" t="s">
        <v>115</v>
      </c>
      <c r="J58" s="5">
        <v>1</v>
      </c>
      <c r="K58" s="5">
        <v>1</v>
      </c>
      <c r="L58" s="1" t="s">
        <v>190</v>
      </c>
      <c r="M58" s="1" t="s">
        <v>108</v>
      </c>
      <c r="N58" s="1" t="s">
        <v>75</v>
      </c>
      <c r="O58" s="1" t="s">
        <v>75</v>
      </c>
      <c r="P58" s="1" t="s">
        <v>228</v>
      </c>
      <c r="Q58" s="2" t="b">
        <v>1</v>
      </c>
      <c r="R58" s="2" t="b">
        <v>1</v>
      </c>
      <c r="S58" s="1" t="s">
        <v>77</v>
      </c>
      <c r="T58" s="5"/>
      <c r="U58" s="5"/>
      <c r="V58" s="5"/>
      <c r="W58" s="1" t="s">
        <v>80</v>
      </c>
      <c r="X58" s="5">
        <v>3</v>
      </c>
      <c r="Y58" s="5">
        <v>4</v>
      </c>
      <c r="Z58" s="5">
        <v>7</v>
      </c>
      <c r="AA58" s="5">
        <v>0</v>
      </c>
      <c r="AB58" s="5">
        <v>1</v>
      </c>
      <c r="AC58" s="5">
        <v>1</v>
      </c>
      <c r="AD58" s="5">
        <v>0</v>
      </c>
      <c r="AE58" s="5">
        <v>0</v>
      </c>
      <c r="AF58" s="5">
        <v>0</v>
      </c>
      <c r="AG58" s="5">
        <v>0</v>
      </c>
      <c r="AH58" s="5">
        <v>1</v>
      </c>
      <c r="AI58" s="5">
        <v>1</v>
      </c>
      <c r="AJ58" s="5">
        <v>8</v>
      </c>
      <c r="AK58" s="1" t="s">
        <v>81</v>
      </c>
      <c r="AL58" s="6">
        <v>-1</v>
      </c>
      <c r="AM58" s="6">
        <v>-1</v>
      </c>
      <c r="AN58" s="1">
        <v>-1</v>
      </c>
      <c r="AO58" s="1">
        <v>-1</v>
      </c>
      <c r="AP58" s="1">
        <v>-1</v>
      </c>
      <c r="AQ58" s="1">
        <v>-1</v>
      </c>
      <c r="AR58" s="1" t="s">
        <v>167</v>
      </c>
      <c r="AS58" s="1" t="s">
        <v>168</v>
      </c>
      <c r="AT58" s="1" t="s">
        <v>75</v>
      </c>
      <c r="AU58" s="1" t="s">
        <v>84</v>
      </c>
      <c r="AV58" s="1" t="s">
        <v>85</v>
      </c>
      <c r="AW58" s="1" t="s">
        <v>86</v>
      </c>
      <c r="AX58" s="1" t="s">
        <v>87</v>
      </c>
    </row>
    <row r="59" spans="1:50" ht="15" customHeight="1">
      <c r="A59" s="1">
        <v>2006</v>
      </c>
      <c r="B59" s="1" t="s">
        <v>70</v>
      </c>
      <c r="C59" s="1" t="s">
        <v>234</v>
      </c>
      <c r="D59" s="1" t="s">
        <v>233</v>
      </c>
      <c r="E59" s="1" t="s">
        <v>220</v>
      </c>
      <c r="F59" s="4">
        <v>38898</v>
      </c>
      <c r="G59" s="1" t="s">
        <v>89</v>
      </c>
      <c r="H59" s="1" t="s">
        <v>150</v>
      </c>
      <c r="I59" s="1" t="s">
        <v>172</v>
      </c>
      <c r="J59" s="5">
        <v>3</v>
      </c>
      <c r="K59" s="5">
        <v>0</v>
      </c>
      <c r="L59" s="1" t="s">
        <v>180</v>
      </c>
      <c r="M59" s="1" t="s">
        <v>78</v>
      </c>
      <c r="N59" s="1" t="s">
        <v>150</v>
      </c>
      <c r="O59" s="1" t="s">
        <v>150</v>
      </c>
      <c r="P59" s="1" t="s">
        <v>31</v>
      </c>
      <c r="Q59" s="2" t="b">
        <v>0</v>
      </c>
      <c r="R59" s="2" t="b">
        <v>0</v>
      </c>
      <c r="S59" s="1" t="s">
        <v>79</v>
      </c>
      <c r="T59" s="5"/>
      <c r="U59" s="5"/>
      <c r="V59" s="5"/>
      <c r="W59" s="1" t="s">
        <v>80</v>
      </c>
      <c r="X59" s="5">
        <v>0</v>
      </c>
      <c r="Y59" s="5">
        <v>3</v>
      </c>
      <c r="Z59" s="5">
        <v>3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3</v>
      </c>
      <c r="AK59" s="1" t="s">
        <v>81</v>
      </c>
      <c r="AL59" s="6">
        <v>-1</v>
      </c>
      <c r="AM59" s="6">
        <v>-1</v>
      </c>
      <c r="AN59" s="1">
        <v>-1</v>
      </c>
      <c r="AO59" s="1">
        <v>-1</v>
      </c>
      <c r="AP59" s="1">
        <v>-1</v>
      </c>
      <c r="AQ59" s="1">
        <v>-1</v>
      </c>
      <c r="AR59" s="1" t="s">
        <v>118</v>
      </c>
      <c r="AS59" s="1" t="s">
        <v>119</v>
      </c>
      <c r="AT59" s="1" t="s">
        <v>75</v>
      </c>
      <c r="AU59" s="1" t="s">
        <v>84</v>
      </c>
      <c r="AV59" s="1" t="s">
        <v>85</v>
      </c>
      <c r="AW59" s="1" t="s">
        <v>86</v>
      </c>
      <c r="AX59" s="1" t="s">
        <v>87</v>
      </c>
    </row>
    <row r="60" spans="1:50" ht="15" customHeight="1">
      <c r="A60" s="1">
        <v>2006</v>
      </c>
      <c r="B60" s="1" t="s">
        <v>70</v>
      </c>
      <c r="C60" s="1" t="s">
        <v>235</v>
      </c>
      <c r="D60" s="1" t="s">
        <v>233</v>
      </c>
      <c r="E60" s="1" t="s">
        <v>220</v>
      </c>
      <c r="F60" s="4">
        <v>38899</v>
      </c>
      <c r="G60" s="1" t="s">
        <v>221</v>
      </c>
      <c r="H60" s="1" t="s">
        <v>99</v>
      </c>
      <c r="I60" s="1" t="s">
        <v>135</v>
      </c>
      <c r="J60" s="5">
        <v>0</v>
      </c>
      <c r="K60" s="5">
        <v>0</v>
      </c>
      <c r="L60" s="1" t="s">
        <v>107</v>
      </c>
      <c r="M60" s="1" t="s">
        <v>108</v>
      </c>
      <c r="N60" s="1" t="s">
        <v>135</v>
      </c>
      <c r="O60" s="1" t="s">
        <v>135</v>
      </c>
      <c r="P60" s="1" t="s">
        <v>228</v>
      </c>
      <c r="Q60" s="2" t="b">
        <v>1</v>
      </c>
      <c r="R60" s="2" t="b">
        <v>1</v>
      </c>
      <c r="S60" s="1" t="s">
        <v>231</v>
      </c>
      <c r="T60" s="5"/>
      <c r="U60" s="5"/>
      <c r="V60" s="5"/>
      <c r="W60" s="1" t="s">
        <v>80</v>
      </c>
      <c r="X60" s="5">
        <v>2</v>
      </c>
      <c r="Y60" s="5">
        <v>2</v>
      </c>
      <c r="Z60" s="5">
        <v>4</v>
      </c>
      <c r="AA60" s="5">
        <v>1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5">
        <v>1</v>
      </c>
      <c r="AH60" s="5">
        <v>0</v>
      </c>
      <c r="AI60" s="5">
        <v>1</v>
      </c>
      <c r="AJ60" s="5">
        <v>5</v>
      </c>
      <c r="AK60" s="1" t="s">
        <v>81</v>
      </c>
      <c r="AL60" s="6">
        <v>-1</v>
      </c>
      <c r="AM60" s="6">
        <v>-1</v>
      </c>
      <c r="AN60" s="1">
        <v>-1</v>
      </c>
      <c r="AO60" s="1">
        <v>-1</v>
      </c>
      <c r="AP60" s="1">
        <v>-1</v>
      </c>
      <c r="AQ60" s="1">
        <v>-1</v>
      </c>
      <c r="AR60" s="1" t="s">
        <v>94</v>
      </c>
      <c r="AS60" s="1" t="s">
        <v>95</v>
      </c>
      <c r="AT60" s="1" t="s">
        <v>75</v>
      </c>
      <c r="AU60" s="1" t="s">
        <v>84</v>
      </c>
      <c r="AV60" s="1" t="s">
        <v>85</v>
      </c>
      <c r="AW60" s="1" t="s">
        <v>86</v>
      </c>
      <c r="AX60" s="1" t="s">
        <v>87</v>
      </c>
    </row>
    <row r="61" spans="1:50" ht="15" customHeight="1">
      <c r="A61" s="1">
        <v>2006</v>
      </c>
      <c r="B61" s="1" t="s">
        <v>70</v>
      </c>
      <c r="C61" s="1" t="s">
        <v>236</v>
      </c>
      <c r="D61" s="1" t="s">
        <v>233</v>
      </c>
      <c r="E61" s="1" t="s">
        <v>220</v>
      </c>
      <c r="F61" s="4">
        <v>38899</v>
      </c>
      <c r="G61" s="1" t="s">
        <v>89</v>
      </c>
      <c r="H61" s="1" t="s">
        <v>165</v>
      </c>
      <c r="I61" s="1" t="s">
        <v>160</v>
      </c>
      <c r="J61" s="5">
        <v>0</v>
      </c>
      <c r="K61" s="5">
        <v>1</v>
      </c>
      <c r="L61" s="1" t="s">
        <v>123</v>
      </c>
      <c r="M61" s="1" t="s">
        <v>93</v>
      </c>
      <c r="N61" s="1" t="s">
        <v>160</v>
      </c>
      <c r="O61" s="1" t="s">
        <v>160</v>
      </c>
      <c r="P61" s="1" t="s">
        <v>31</v>
      </c>
      <c r="Q61" s="2" t="b">
        <v>0</v>
      </c>
      <c r="R61" s="2" t="b">
        <v>0</v>
      </c>
      <c r="S61" s="1" t="s">
        <v>79</v>
      </c>
      <c r="T61" s="5"/>
      <c r="U61" s="5"/>
      <c r="V61" s="5"/>
      <c r="W61" s="1" t="s">
        <v>80</v>
      </c>
      <c r="X61" s="5">
        <v>4</v>
      </c>
      <c r="Y61" s="5">
        <v>3</v>
      </c>
      <c r="Z61" s="5">
        <v>7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7</v>
      </c>
      <c r="AK61" s="1" t="s">
        <v>81</v>
      </c>
      <c r="AL61" s="6">
        <v>-1</v>
      </c>
      <c r="AM61" s="6">
        <v>-1</v>
      </c>
      <c r="AN61" s="1">
        <v>-1</v>
      </c>
      <c r="AO61" s="1">
        <v>-1</v>
      </c>
      <c r="AP61" s="1">
        <v>-1</v>
      </c>
      <c r="AQ61" s="1">
        <v>-1</v>
      </c>
      <c r="AR61" s="1" t="s">
        <v>102</v>
      </c>
      <c r="AS61" s="1" t="s">
        <v>103</v>
      </c>
      <c r="AT61" s="1" t="s">
        <v>75</v>
      </c>
      <c r="AU61" s="1" t="s">
        <v>84</v>
      </c>
      <c r="AV61" s="1" t="s">
        <v>85</v>
      </c>
      <c r="AW61" s="1" t="s">
        <v>86</v>
      </c>
      <c r="AX61" s="1" t="s">
        <v>87</v>
      </c>
    </row>
    <row r="62" spans="1:50" ht="15" customHeight="1">
      <c r="A62" s="1">
        <v>2006</v>
      </c>
      <c r="B62" s="1" t="s">
        <v>70</v>
      </c>
      <c r="C62" s="1" t="s">
        <v>237</v>
      </c>
      <c r="D62" s="1" t="s">
        <v>238</v>
      </c>
      <c r="E62" s="1" t="s">
        <v>220</v>
      </c>
      <c r="F62" s="4">
        <v>38902</v>
      </c>
      <c r="G62" s="1" t="s">
        <v>89</v>
      </c>
      <c r="H62" s="1" t="s">
        <v>75</v>
      </c>
      <c r="I62" s="1" t="s">
        <v>150</v>
      </c>
      <c r="J62" s="5">
        <v>0</v>
      </c>
      <c r="K62" s="5">
        <v>2</v>
      </c>
      <c r="L62" s="1" t="s">
        <v>92</v>
      </c>
      <c r="M62" s="1" t="s">
        <v>93</v>
      </c>
      <c r="N62" s="1" t="s">
        <v>150</v>
      </c>
      <c r="O62" s="1" t="s">
        <v>150</v>
      </c>
      <c r="P62" s="1" t="s">
        <v>223</v>
      </c>
      <c r="Q62" s="2" t="b">
        <v>1</v>
      </c>
      <c r="R62" s="2" t="b">
        <v>0</v>
      </c>
      <c r="S62" s="1" t="s">
        <v>79</v>
      </c>
      <c r="T62" s="5"/>
      <c r="U62" s="5"/>
      <c r="V62" s="5"/>
      <c r="W62" s="1" t="s">
        <v>80</v>
      </c>
      <c r="X62" s="5">
        <v>2</v>
      </c>
      <c r="Y62" s="5">
        <v>1</v>
      </c>
      <c r="Z62" s="5">
        <v>3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3</v>
      </c>
      <c r="AK62" s="1" t="s">
        <v>81</v>
      </c>
      <c r="AL62" s="6">
        <v>-1</v>
      </c>
      <c r="AM62" s="6">
        <v>-1</v>
      </c>
      <c r="AN62" s="1">
        <v>-1</v>
      </c>
      <c r="AO62" s="1">
        <v>-1</v>
      </c>
      <c r="AP62" s="1">
        <v>-1</v>
      </c>
      <c r="AQ62" s="1">
        <v>-1</v>
      </c>
      <c r="AR62" s="1" t="s">
        <v>111</v>
      </c>
      <c r="AS62" s="1" t="s">
        <v>112</v>
      </c>
      <c r="AT62" s="1" t="s">
        <v>75</v>
      </c>
      <c r="AU62" s="1" t="s">
        <v>84</v>
      </c>
      <c r="AV62" s="1" t="s">
        <v>85</v>
      </c>
      <c r="AW62" s="1" t="s">
        <v>86</v>
      </c>
      <c r="AX62" s="1" t="s">
        <v>87</v>
      </c>
    </row>
    <row r="63" spans="1:50" ht="15" customHeight="1">
      <c r="A63" s="1">
        <v>2006</v>
      </c>
      <c r="B63" s="1" t="s">
        <v>70</v>
      </c>
      <c r="C63" s="1" t="s">
        <v>239</v>
      </c>
      <c r="D63" s="1" t="s">
        <v>238</v>
      </c>
      <c r="E63" s="1" t="s">
        <v>220</v>
      </c>
      <c r="F63" s="4">
        <v>38903</v>
      </c>
      <c r="G63" s="1" t="s">
        <v>89</v>
      </c>
      <c r="H63" s="1" t="s">
        <v>135</v>
      </c>
      <c r="I63" s="1" t="s">
        <v>160</v>
      </c>
      <c r="J63" s="5">
        <v>0</v>
      </c>
      <c r="K63" s="5">
        <v>1</v>
      </c>
      <c r="L63" s="1" t="s">
        <v>123</v>
      </c>
      <c r="M63" s="1" t="s">
        <v>93</v>
      </c>
      <c r="N63" s="1" t="s">
        <v>160</v>
      </c>
      <c r="O63" s="1" t="s">
        <v>160</v>
      </c>
      <c r="P63" s="1" t="s">
        <v>31</v>
      </c>
      <c r="Q63" s="2" t="b">
        <v>0</v>
      </c>
      <c r="R63" s="2" t="b">
        <v>0</v>
      </c>
      <c r="S63" s="1" t="s">
        <v>79</v>
      </c>
      <c r="T63" s="5"/>
      <c r="U63" s="5"/>
      <c r="V63" s="5"/>
      <c r="W63" s="1" t="s">
        <v>80</v>
      </c>
      <c r="X63" s="5">
        <v>1</v>
      </c>
      <c r="Y63" s="5">
        <v>1</v>
      </c>
      <c r="Z63" s="5">
        <v>2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2</v>
      </c>
      <c r="AK63" s="1" t="s">
        <v>81</v>
      </c>
      <c r="AL63" s="6">
        <v>-1</v>
      </c>
      <c r="AM63" s="6">
        <v>-1</v>
      </c>
      <c r="AN63" s="1">
        <v>-1</v>
      </c>
      <c r="AO63" s="1">
        <v>-1</v>
      </c>
      <c r="AP63" s="1">
        <v>-1</v>
      </c>
      <c r="AQ63" s="1">
        <v>-1</v>
      </c>
      <c r="AR63" s="1" t="s">
        <v>82</v>
      </c>
      <c r="AS63" s="1" t="s">
        <v>83</v>
      </c>
      <c r="AT63" s="1" t="s">
        <v>75</v>
      </c>
      <c r="AU63" s="1" t="s">
        <v>84</v>
      </c>
      <c r="AV63" s="1" t="s">
        <v>85</v>
      </c>
      <c r="AW63" s="1" t="s">
        <v>86</v>
      </c>
      <c r="AX63" s="1" t="s">
        <v>87</v>
      </c>
    </row>
    <row r="64" spans="1:50" ht="15" customHeight="1">
      <c r="A64" s="1">
        <v>2006</v>
      </c>
      <c r="B64" s="1" t="s">
        <v>70</v>
      </c>
      <c r="C64" s="1" t="s">
        <v>240</v>
      </c>
      <c r="D64" s="1" t="s">
        <v>241</v>
      </c>
      <c r="E64" s="1" t="s">
        <v>220</v>
      </c>
      <c r="F64" s="4">
        <v>38906</v>
      </c>
      <c r="G64" s="1" t="s">
        <v>89</v>
      </c>
      <c r="H64" s="1" t="s">
        <v>75</v>
      </c>
      <c r="I64" s="1" t="s">
        <v>135</v>
      </c>
      <c r="J64" s="5">
        <v>3</v>
      </c>
      <c r="K64" s="5">
        <v>1</v>
      </c>
      <c r="L64" s="1" t="s">
        <v>130</v>
      </c>
      <c r="M64" s="1" t="s">
        <v>78</v>
      </c>
      <c r="N64" s="1" t="s">
        <v>75</v>
      </c>
      <c r="O64" s="1" t="s">
        <v>75</v>
      </c>
      <c r="P64" s="1" t="s">
        <v>31</v>
      </c>
      <c r="Q64" s="2" t="b">
        <v>0</v>
      </c>
      <c r="R64" s="2" t="b">
        <v>0</v>
      </c>
      <c r="S64" s="1" t="s">
        <v>79</v>
      </c>
      <c r="T64" s="5"/>
      <c r="U64" s="5"/>
      <c r="V64" s="5"/>
      <c r="W64" s="1" t="s">
        <v>80</v>
      </c>
      <c r="X64" s="5">
        <v>2</v>
      </c>
      <c r="Y64" s="5">
        <v>3</v>
      </c>
      <c r="Z64" s="5">
        <v>5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5</v>
      </c>
      <c r="AK64" s="1" t="s">
        <v>81</v>
      </c>
      <c r="AL64" s="6">
        <v>-1</v>
      </c>
      <c r="AM64" s="6">
        <v>-1</v>
      </c>
      <c r="AN64" s="1">
        <v>-1</v>
      </c>
      <c r="AO64" s="1">
        <v>-1</v>
      </c>
      <c r="AP64" s="1">
        <v>-1</v>
      </c>
      <c r="AQ64" s="1">
        <v>-1</v>
      </c>
      <c r="AR64" s="1" t="s">
        <v>162</v>
      </c>
      <c r="AS64" s="1" t="s">
        <v>163</v>
      </c>
      <c r="AT64" s="1" t="s">
        <v>75</v>
      </c>
      <c r="AU64" s="1" t="s">
        <v>84</v>
      </c>
      <c r="AV64" s="1" t="s">
        <v>85</v>
      </c>
      <c r="AW64" s="1" t="s">
        <v>86</v>
      </c>
      <c r="AX64" s="1" t="s">
        <v>87</v>
      </c>
    </row>
    <row r="65" spans="1:50" ht="15" customHeight="1">
      <c r="A65" s="1">
        <v>2006</v>
      </c>
      <c r="B65" s="1" t="s">
        <v>70</v>
      </c>
      <c r="C65" s="1" t="s">
        <v>242</v>
      </c>
      <c r="D65" s="1" t="s">
        <v>243</v>
      </c>
      <c r="E65" s="1" t="s">
        <v>220</v>
      </c>
      <c r="F65" s="4">
        <v>38907</v>
      </c>
      <c r="G65" s="1" t="s">
        <v>244</v>
      </c>
      <c r="H65" s="1" t="s">
        <v>150</v>
      </c>
      <c r="I65" s="1" t="s">
        <v>160</v>
      </c>
      <c r="J65" s="5">
        <v>1</v>
      </c>
      <c r="K65" s="5">
        <v>1</v>
      </c>
      <c r="L65" s="1" t="s">
        <v>190</v>
      </c>
      <c r="M65" s="1" t="s">
        <v>108</v>
      </c>
      <c r="N65" s="1" t="s">
        <v>150</v>
      </c>
      <c r="O65" s="1" t="s">
        <v>150</v>
      </c>
      <c r="P65" s="1" t="s">
        <v>228</v>
      </c>
      <c r="Q65" s="2" t="b">
        <v>1</v>
      </c>
      <c r="R65" s="2" t="b">
        <v>1</v>
      </c>
      <c r="S65" s="1" t="s">
        <v>245</v>
      </c>
      <c r="T65" s="5"/>
      <c r="U65" s="5"/>
      <c r="V65" s="5"/>
      <c r="W65" s="1" t="s">
        <v>80</v>
      </c>
      <c r="X65" s="5">
        <v>1</v>
      </c>
      <c r="Y65" s="5">
        <v>3</v>
      </c>
      <c r="Z65" s="5">
        <v>4</v>
      </c>
      <c r="AA65" s="5">
        <v>0</v>
      </c>
      <c r="AB65" s="5">
        <v>1</v>
      </c>
      <c r="AC65" s="5">
        <v>1</v>
      </c>
      <c r="AD65" s="5">
        <v>0</v>
      </c>
      <c r="AE65" s="5">
        <v>0</v>
      </c>
      <c r="AF65" s="5">
        <v>0</v>
      </c>
      <c r="AG65" s="5">
        <v>0</v>
      </c>
      <c r="AH65" s="5">
        <v>1</v>
      </c>
      <c r="AI65" s="5">
        <v>1</v>
      </c>
      <c r="AJ65" s="5">
        <v>5</v>
      </c>
      <c r="AK65" s="1" t="s">
        <v>81</v>
      </c>
      <c r="AL65" s="6">
        <v>-1</v>
      </c>
      <c r="AM65" s="6">
        <v>-1</v>
      </c>
      <c r="AN65" s="1">
        <v>-1</v>
      </c>
      <c r="AO65" s="1">
        <v>-1</v>
      </c>
      <c r="AP65" s="1">
        <v>-1</v>
      </c>
      <c r="AQ65" s="1">
        <v>-1</v>
      </c>
      <c r="AR65" s="1" t="s">
        <v>167</v>
      </c>
      <c r="AS65" s="1" t="s">
        <v>168</v>
      </c>
      <c r="AT65" s="1" t="s">
        <v>75</v>
      </c>
      <c r="AU65" s="1" t="s">
        <v>84</v>
      </c>
      <c r="AV65" s="1" t="s">
        <v>85</v>
      </c>
      <c r="AW65" s="1" t="s">
        <v>86</v>
      </c>
      <c r="AX65" s="1" t="s">
        <v>87</v>
      </c>
    </row>
    <row r="66" spans="1:50" ht="15" customHeight="1">
      <c r="A66" s="1">
        <v>2010</v>
      </c>
      <c r="B66" s="1" t="s">
        <v>246</v>
      </c>
      <c r="C66" s="1" t="s">
        <v>247</v>
      </c>
      <c r="D66" s="1" t="s">
        <v>72</v>
      </c>
      <c r="E66" s="1" t="s">
        <v>73</v>
      </c>
      <c r="F66" s="4">
        <v>40340</v>
      </c>
      <c r="G66" s="1" t="s">
        <v>199</v>
      </c>
      <c r="H66" s="1" t="s">
        <v>248</v>
      </c>
      <c r="I66" s="1" t="s">
        <v>128</v>
      </c>
      <c r="J66" s="5">
        <v>1</v>
      </c>
      <c r="K66" s="5">
        <v>1</v>
      </c>
      <c r="L66" s="1" t="s">
        <v>190</v>
      </c>
      <c r="M66" s="1" t="s">
        <v>108</v>
      </c>
      <c r="N66" s="1" t="s">
        <v>109</v>
      </c>
      <c r="O66" s="1"/>
      <c r="P66" s="1" t="s">
        <v>110</v>
      </c>
      <c r="Q66" s="2" t="b">
        <v>0</v>
      </c>
      <c r="R66" s="2" t="b">
        <v>0</v>
      </c>
      <c r="S66" s="1" t="s">
        <v>79</v>
      </c>
      <c r="T66" s="5">
        <v>4</v>
      </c>
      <c r="U66" s="5">
        <v>5</v>
      </c>
      <c r="V66" s="5">
        <v>9</v>
      </c>
      <c r="W66" s="1" t="s">
        <v>81</v>
      </c>
      <c r="X66" s="5">
        <v>2</v>
      </c>
      <c r="Y66" s="5">
        <v>2</v>
      </c>
      <c r="Z66" s="5">
        <v>4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4</v>
      </c>
      <c r="AK66" s="1" t="s">
        <v>81</v>
      </c>
      <c r="AL66" s="6">
        <v>9</v>
      </c>
      <c r="AM66" s="6">
        <v>12</v>
      </c>
      <c r="AN66" s="1">
        <v>5</v>
      </c>
      <c r="AO66" s="1">
        <v>5</v>
      </c>
      <c r="AP66" s="1">
        <v>42</v>
      </c>
      <c r="AQ66" s="1">
        <v>58</v>
      </c>
      <c r="AR66" s="1" t="s">
        <v>249</v>
      </c>
      <c r="AS66" s="1" t="s">
        <v>250</v>
      </c>
      <c r="AT66" s="1" t="s">
        <v>248</v>
      </c>
      <c r="AU66" s="1" t="s">
        <v>84</v>
      </c>
      <c r="AV66" s="1" t="s">
        <v>85</v>
      </c>
      <c r="AW66" s="1" t="s">
        <v>251</v>
      </c>
      <c r="AX66" s="1"/>
    </row>
    <row r="67" spans="1:50" ht="15" customHeight="1">
      <c r="A67" s="1">
        <v>2010</v>
      </c>
      <c r="B67" s="1" t="s">
        <v>246</v>
      </c>
      <c r="C67" s="1" t="s">
        <v>252</v>
      </c>
      <c r="D67" s="1" t="s">
        <v>72</v>
      </c>
      <c r="E67" s="1" t="s">
        <v>73</v>
      </c>
      <c r="F67" s="4">
        <v>40340</v>
      </c>
      <c r="G67" s="1" t="s">
        <v>253</v>
      </c>
      <c r="H67" s="1" t="s">
        <v>254</v>
      </c>
      <c r="I67" s="1" t="s">
        <v>160</v>
      </c>
      <c r="J67" s="5">
        <v>0</v>
      </c>
      <c r="K67" s="5">
        <v>0</v>
      </c>
      <c r="L67" s="1" t="s">
        <v>107</v>
      </c>
      <c r="M67" s="1" t="s">
        <v>108</v>
      </c>
      <c r="N67" s="1" t="s">
        <v>109</v>
      </c>
      <c r="O67" s="1"/>
      <c r="P67" s="1" t="s">
        <v>110</v>
      </c>
      <c r="Q67" s="2" t="b">
        <v>0</v>
      </c>
      <c r="R67" s="2" t="b">
        <v>0</v>
      </c>
      <c r="S67" s="1" t="s">
        <v>79</v>
      </c>
      <c r="T67" s="5">
        <v>0</v>
      </c>
      <c r="U67" s="5">
        <v>4</v>
      </c>
      <c r="V67" s="5">
        <v>4</v>
      </c>
      <c r="W67" s="1" t="s">
        <v>81</v>
      </c>
      <c r="X67" s="5">
        <v>3</v>
      </c>
      <c r="Y67" s="5">
        <v>3</v>
      </c>
      <c r="Z67" s="5">
        <v>6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5">
        <v>1</v>
      </c>
      <c r="AG67" s="5">
        <v>1</v>
      </c>
      <c r="AH67" s="5">
        <v>0</v>
      </c>
      <c r="AI67" s="5">
        <v>1</v>
      </c>
      <c r="AJ67" s="5">
        <v>7</v>
      </c>
      <c r="AK67" s="1" t="s">
        <v>81</v>
      </c>
      <c r="AL67" s="6">
        <v>6</v>
      </c>
      <c r="AM67" s="6">
        <v>12</v>
      </c>
      <c r="AN67" s="1">
        <v>3</v>
      </c>
      <c r="AO67" s="1">
        <v>3</v>
      </c>
      <c r="AP67" s="1">
        <v>49</v>
      </c>
      <c r="AQ67" s="1">
        <v>51</v>
      </c>
      <c r="AR67" s="1" t="s">
        <v>255</v>
      </c>
      <c r="AS67" s="1" t="s">
        <v>256</v>
      </c>
      <c r="AT67" s="1" t="s">
        <v>248</v>
      </c>
      <c r="AU67" s="1" t="s">
        <v>84</v>
      </c>
      <c r="AV67" s="1" t="s">
        <v>85</v>
      </c>
      <c r="AW67" s="1" t="s">
        <v>251</v>
      </c>
      <c r="AX67" s="1"/>
    </row>
    <row r="68" spans="1:50" ht="15" customHeight="1">
      <c r="A68" s="1">
        <v>2010</v>
      </c>
      <c r="B68" s="1" t="s">
        <v>246</v>
      </c>
      <c r="C68" s="1" t="s">
        <v>257</v>
      </c>
      <c r="D68" s="1" t="s">
        <v>72</v>
      </c>
      <c r="E68" s="1" t="s">
        <v>97</v>
      </c>
      <c r="F68" s="4">
        <v>40341</v>
      </c>
      <c r="G68" s="1" t="s">
        <v>258</v>
      </c>
      <c r="H68" s="1" t="s">
        <v>157</v>
      </c>
      <c r="I68" s="1" t="s">
        <v>259</v>
      </c>
      <c r="J68" s="5">
        <v>2</v>
      </c>
      <c r="K68" s="5">
        <v>0</v>
      </c>
      <c r="L68" s="1" t="s">
        <v>152</v>
      </c>
      <c r="M68" s="1" t="s">
        <v>78</v>
      </c>
      <c r="N68" s="1" t="s">
        <v>157</v>
      </c>
      <c r="O68" s="1" t="s">
        <v>157</v>
      </c>
      <c r="P68" s="1" t="s">
        <v>31</v>
      </c>
      <c r="Q68" s="2" t="b">
        <v>0</v>
      </c>
      <c r="R68" s="2" t="b">
        <v>0</v>
      </c>
      <c r="S68" s="1" t="s">
        <v>79</v>
      </c>
      <c r="T68" s="5">
        <v>6</v>
      </c>
      <c r="U68" s="5">
        <v>11</v>
      </c>
      <c r="V68" s="5">
        <v>17</v>
      </c>
      <c r="W68" s="1" t="s">
        <v>81</v>
      </c>
      <c r="X68" s="5">
        <v>0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1</v>
      </c>
      <c r="AK68" s="1" t="s">
        <v>81</v>
      </c>
      <c r="AL68" s="6">
        <v>11</v>
      </c>
      <c r="AM68" s="6">
        <v>7</v>
      </c>
      <c r="AN68" s="1">
        <v>7</v>
      </c>
      <c r="AO68" s="1">
        <v>2</v>
      </c>
      <c r="AP68" s="1">
        <v>51</v>
      </c>
      <c r="AQ68" s="1">
        <v>49</v>
      </c>
      <c r="AR68" s="1" t="s">
        <v>260</v>
      </c>
      <c r="AS68" s="1" t="s">
        <v>261</v>
      </c>
      <c r="AT68" s="1" t="s">
        <v>248</v>
      </c>
      <c r="AU68" s="1" t="s">
        <v>84</v>
      </c>
      <c r="AV68" s="1" t="s">
        <v>85</v>
      </c>
      <c r="AW68" s="1" t="s">
        <v>251</v>
      </c>
      <c r="AX68" s="1"/>
    </row>
    <row r="69" spans="1:50" ht="15" customHeight="1">
      <c r="A69" s="1">
        <v>2010</v>
      </c>
      <c r="B69" s="1" t="s">
        <v>246</v>
      </c>
      <c r="C69" s="1" t="s">
        <v>262</v>
      </c>
      <c r="D69" s="1" t="s">
        <v>72</v>
      </c>
      <c r="E69" s="1" t="s">
        <v>97</v>
      </c>
      <c r="F69" s="4">
        <v>40341</v>
      </c>
      <c r="G69" s="1" t="s">
        <v>199</v>
      </c>
      <c r="H69" s="1" t="s">
        <v>115</v>
      </c>
      <c r="I69" s="1" t="s">
        <v>263</v>
      </c>
      <c r="J69" s="5">
        <v>1</v>
      </c>
      <c r="K69" s="5">
        <v>0</v>
      </c>
      <c r="L69" s="1" t="s">
        <v>101</v>
      </c>
      <c r="M69" s="1" t="s">
        <v>78</v>
      </c>
      <c r="N69" s="1" t="s">
        <v>115</v>
      </c>
      <c r="O69" s="1" t="s">
        <v>115</v>
      </c>
      <c r="P69" s="1" t="s">
        <v>31</v>
      </c>
      <c r="Q69" s="2" t="b">
        <v>0</v>
      </c>
      <c r="R69" s="2" t="b">
        <v>0</v>
      </c>
      <c r="S69" s="1" t="s">
        <v>79</v>
      </c>
      <c r="T69" s="5">
        <v>10</v>
      </c>
      <c r="U69" s="5">
        <v>4</v>
      </c>
      <c r="V69" s="5">
        <v>14</v>
      </c>
      <c r="W69" s="1" t="s">
        <v>81</v>
      </c>
      <c r="X69" s="5">
        <v>1</v>
      </c>
      <c r="Y69" s="5">
        <v>1</v>
      </c>
      <c r="Z69" s="5">
        <v>2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2</v>
      </c>
      <c r="AK69" s="1" t="s">
        <v>81</v>
      </c>
      <c r="AL69" s="6">
        <v>15</v>
      </c>
      <c r="AM69" s="6">
        <v>9</v>
      </c>
      <c r="AN69" s="1">
        <v>7</v>
      </c>
      <c r="AO69" s="1">
        <v>1</v>
      </c>
      <c r="AP69" s="1">
        <v>59</v>
      </c>
      <c r="AQ69" s="1">
        <v>41</v>
      </c>
      <c r="AR69" s="1" t="s">
        <v>264</v>
      </c>
      <c r="AS69" s="1" t="s">
        <v>250</v>
      </c>
      <c r="AT69" s="1" t="s">
        <v>248</v>
      </c>
      <c r="AU69" s="1" t="s">
        <v>84</v>
      </c>
      <c r="AV69" s="1" t="s">
        <v>85</v>
      </c>
      <c r="AW69" s="1" t="s">
        <v>251</v>
      </c>
      <c r="AX69" s="1"/>
    </row>
    <row r="70" spans="1:50" ht="15" customHeight="1">
      <c r="A70" s="1">
        <v>2010</v>
      </c>
      <c r="B70" s="1" t="s">
        <v>246</v>
      </c>
      <c r="C70" s="1" t="s">
        <v>265</v>
      </c>
      <c r="D70" s="1" t="s">
        <v>72</v>
      </c>
      <c r="E70" s="1" t="s">
        <v>114</v>
      </c>
      <c r="F70" s="4">
        <v>40341</v>
      </c>
      <c r="G70" s="1" t="s">
        <v>253</v>
      </c>
      <c r="H70" s="1" t="s">
        <v>99</v>
      </c>
      <c r="I70" s="1" t="s">
        <v>146</v>
      </c>
      <c r="J70" s="5">
        <v>1</v>
      </c>
      <c r="K70" s="5">
        <v>1</v>
      </c>
      <c r="L70" s="1" t="s">
        <v>190</v>
      </c>
      <c r="M70" s="1" t="s">
        <v>108</v>
      </c>
      <c r="N70" s="1" t="s">
        <v>109</v>
      </c>
      <c r="O70" s="1"/>
      <c r="P70" s="1" t="s">
        <v>110</v>
      </c>
      <c r="Q70" s="2" t="b">
        <v>0</v>
      </c>
      <c r="R70" s="2" t="b">
        <v>0</v>
      </c>
      <c r="S70" s="1" t="s">
        <v>79</v>
      </c>
      <c r="T70" s="5">
        <v>7</v>
      </c>
      <c r="U70" s="5">
        <v>4</v>
      </c>
      <c r="V70" s="5">
        <v>11</v>
      </c>
      <c r="W70" s="1" t="s">
        <v>81</v>
      </c>
      <c r="X70" s="5">
        <v>3</v>
      </c>
      <c r="Y70" s="5">
        <v>3</v>
      </c>
      <c r="Z70" s="5">
        <v>6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6</v>
      </c>
      <c r="AK70" s="1" t="s">
        <v>81</v>
      </c>
      <c r="AL70" s="6">
        <v>15</v>
      </c>
      <c r="AM70" s="6">
        <v>11</v>
      </c>
      <c r="AN70" s="1">
        <v>8</v>
      </c>
      <c r="AO70" s="1">
        <v>4</v>
      </c>
      <c r="AP70" s="1">
        <v>57</v>
      </c>
      <c r="AQ70" s="1">
        <v>43</v>
      </c>
      <c r="AR70" s="1" t="s">
        <v>266</v>
      </c>
      <c r="AS70" s="1" t="s">
        <v>267</v>
      </c>
      <c r="AT70" s="1" t="s">
        <v>248</v>
      </c>
      <c r="AU70" s="1" t="s">
        <v>84</v>
      </c>
      <c r="AV70" s="1" t="s">
        <v>85</v>
      </c>
      <c r="AW70" s="1" t="s">
        <v>251</v>
      </c>
      <c r="AX70" s="1"/>
    </row>
    <row r="71" spans="1:50" ht="15" customHeight="1">
      <c r="A71" s="1">
        <v>2010</v>
      </c>
      <c r="B71" s="1" t="s">
        <v>246</v>
      </c>
      <c r="C71" s="1" t="s">
        <v>268</v>
      </c>
      <c r="D71" s="1" t="s">
        <v>72</v>
      </c>
      <c r="E71" s="1" t="s">
        <v>114</v>
      </c>
      <c r="F71" s="4">
        <v>40342</v>
      </c>
      <c r="G71" s="1" t="s">
        <v>258</v>
      </c>
      <c r="H71" s="1" t="s">
        <v>269</v>
      </c>
      <c r="I71" s="1" t="s">
        <v>270</v>
      </c>
      <c r="J71" s="5">
        <v>0</v>
      </c>
      <c r="K71" s="5">
        <v>1</v>
      </c>
      <c r="L71" s="1" t="s">
        <v>123</v>
      </c>
      <c r="M71" s="1" t="s">
        <v>93</v>
      </c>
      <c r="N71" s="1" t="s">
        <v>270</v>
      </c>
      <c r="O71" s="1" t="s">
        <v>270</v>
      </c>
      <c r="P71" s="1" t="s">
        <v>31</v>
      </c>
      <c r="Q71" s="2" t="b">
        <v>0</v>
      </c>
      <c r="R71" s="2" t="b">
        <v>0</v>
      </c>
      <c r="S71" s="1" t="s">
        <v>79</v>
      </c>
      <c r="T71" s="5">
        <v>4</v>
      </c>
      <c r="U71" s="5">
        <v>3</v>
      </c>
      <c r="V71" s="5">
        <v>7</v>
      </c>
      <c r="W71" s="1" t="s">
        <v>81</v>
      </c>
      <c r="X71" s="5">
        <v>2</v>
      </c>
      <c r="Y71" s="5">
        <v>2</v>
      </c>
      <c r="Z71" s="5">
        <v>4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  <c r="AF71" s="5">
        <v>1</v>
      </c>
      <c r="AG71" s="5">
        <v>1</v>
      </c>
      <c r="AH71" s="5">
        <v>0</v>
      </c>
      <c r="AI71" s="5">
        <v>1</v>
      </c>
      <c r="AJ71" s="5">
        <v>5</v>
      </c>
      <c r="AK71" s="1" t="s">
        <v>81</v>
      </c>
      <c r="AL71" s="6">
        <v>10</v>
      </c>
      <c r="AM71" s="6">
        <v>6</v>
      </c>
      <c r="AN71" s="1">
        <v>2</v>
      </c>
      <c r="AO71" s="1">
        <v>4</v>
      </c>
      <c r="AP71" s="1">
        <v>52</v>
      </c>
      <c r="AQ71" s="1">
        <v>48</v>
      </c>
      <c r="AR71" s="1" t="s">
        <v>271</v>
      </c>
      <c r="AS71" s="1" t="s">
        <v>272</v>
      </c>
      <c r="AT71" s="1" t="s">
        <v>248</v>
      </c>
      <c r="AU71" s="1" t="s">
        <v>84</v>
      </c>
      <c r="AV71" s="1" t="s">
        <v>85</v>
      </c>
      <c r="AW71" s="1" t="s">
        <v>251</v>
      </c>
      <c r="AX71" s="1"/>
    </row>
    <row r="72" spans="1:50" ht="15" customHeight="1">
      <c r="A72" s="1">
        <v>2010</v>
      </c>
      <c r="B72" s="1" t="s">
        <v>246</v>
      </c>
      <c r="C72" s="1" t="s">
        <v>273</v>
      </c>
      <c r="D72" s="1" t="s">
        <v>72</v>
      </c>
      <c r="E72" s="1" t="s">
        <v>127</v>
      </c>
      <c r="F72" s="4">
        <v>40342</v>
      </c>
      <c r="G72" s="1" t="s">
        <v>199</v>
      </c>
      <c r="H72" s="1" t="s">
        <v>274</v>
      </c>
      <c r="I72" s="1" t="s">
        <v>151</v>
      </c>
      <c r="J72" s="5">
        <v>0</v>
      </c>
      <c r="K72" s="5">
        <v>1</v>
      </c>
      <c r="L72" s="1" t="s">
        <v>123</v>
      </c>
      <c r="M72" s="1" t="s">
        <v>93</v>
      </c>
      <c r="N72" s="1" t="s">
        <v>151</v>
      </c>
      <c r="O72" s="1" t="s">
        <v>151</v>
      </c>
      <c r="P72" s="1" t="s">
        <v>31</v>
      </c>
      <c r="Q72" s="2" t="b">
        <v>0</v>
      </c>
      <c r="R72" s="2" t="b">
        <v>0</v>
      </c>
      <c r="S72" s="1" t="s">
        <v>79</v>
      </c>
      <c r="T72" s="5">
        <v>4</v>
      </c>
      <c r="U72" s="5">
        <v>4</v>
      </c>
      <c r="V72" s="5">
        <v>8</v>
      </c>
      <c r="W72" s="1" t="s">
        <v>81</v>
      </c>
      <c r="X72" s="5">
        <v>3</v>
      </c>
      <c r="Y72" s="5">
        <v>2</v>
      </c>
      <c r="Z72" s="5">
        <v>5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5">
        <v>1</v>
      </c>
      <c r="AG72" s="5">
        <v>1</v>
      </c>
      <c r="AH72" s="5">
        <v>0</v>
      </c>
      <c r="AI72" s="5">
        <v>1</v>
      </c>
      <c r="AJ72" s="5">
        <v>6</v>
      </c>
      <c r="AK72" s="1" t="s">
        <v>81</v>
      </c>
      <c r="AL72" s="6">
        <v>10</v>
      </c>
      <c r="AM72" s="6">
        <v>12</v>
      </c>
      <c r="AN72" s="1">
        <v>2</v>
      </c>
      <c r="AO72" s="1">
        <v>3</v>
      </c>
      <c r="AP72" s="1">
        <v>51</v>
      </c>
      <c r="AQ72" s="1">
        <v>49</v>
      </c>
      <c r="AR72" s="1" t="s">
        <v>275</v>
      </c>
      <c r="AS72" s="1" t="s">
        <v>276</v>
      </c>
      <c r="AT72" s="1" t="s">
        <v>248</v>
      </c>
      <c r="AU72" s="1" t="s">
        <v>84</v>
      </c>
      <c r="AV72" s="1" t="s">
        <v>85</v>
      </c>
      <c r="AW72" s="1" t="s">
        <v>251</v>
      </c>
      <c r="AX72" s="1"/>
    </row>
    <row r="73" spans="1:50" ht="15" customHeight="1">
      <c r="A73" s="1">
        <v>2010</v>
      </c>
      <c r="B73" s="1" t="s">
        <v>246</v>
      </c>
      <c r="C73" s="1" t="s">
        <v>277</v>
      </c>
      <c r="D73" s="1" t="s">
        <v>72</v>
      </c>
      <c r="E73" s="1" t="s">
        <v>127</v>
      </c>
      <c r="F73" s="4">
        <v>40342</v>
      </c>
      <c r="G73" s="1" t="s">
        <v>253</v>
      </c>
      <c r="H73" s="1" t="s">
        <v>75</v>
      </c>
      <c r="I73" s="1" t="s">
        <v>140</v>
      </c>
      <c r="J73" s="5">
        <v>4</v>
      </c>
      <c r="K73" s="5">
        <v>0</v>
      </c>
      <c r="L73" s="1" t="s">
        <v>173</v>
      </c>
      <c r="M73" s="1" t="s">
        <v>78</v>
      </c>
      <c r="N73" s="1" t="s">
        <v>75</v>
      </c>
      <c r="O73" s="1" t="s">
        <v>75</v>
      </c>
      <c r="P73" s="1" t="s">
        <v>31</v>
      </c>
      <c r="Q73" s="2" t="b">
        <v>0</v>
      </c>
      <c r="R73" s="2" t="b">
        <v>0</v>
      </c>
      <c r="S73" s="1" t="s">
        <v>79</v>
      </c>
      <c r="T73" s="5">
        <v>4</v>
      </c>
      <c r="U73" s="5">
        <v>7</v>
      </c>
      <c r="V73" s="5">
        <v>11</v>
      </c>
      <c r="W73" s="1" t="s">
        <v>81</v>
      </c>
      <c r="X73" s="5">
        <v>2</v>
      </c>
      <c r="Y73" s="5">
        <v>3</v>
      </c>
      <c r="Z73" s="5">
        <v>5</v>
      </c>
      <c r="AA73" s="5">
        <v>0</v>
      </c>
      <c r="AB73" s="5">
        <v>1</v>
      </c>
      <c r="AC73" s="5">
        <v>1</v>
      </c>
      <c r="AD73" s="5">
        <v>0</v>
      </c>
      <c r="AE73" s="5">
        <v>0</v>
      </c>
      <c r="AF73" s="5">
        <v>0</v>
      </c>
      <c r="AG73" s="5">
        <v>0</v>
      </c>
      <c r="AH73" s="5">
        <v>1</v>
      </c>
      <c r="AI73" s="5">
        <v>1</v>
      </c>
      <c r="AJ73" s="5">
        <v>6</v>
      </c>
      <c r="AK73" s="1" t="s">
        <v>81</v>
      </c>
      <c r="AL73" s="6">
        <v>16</v>
      </c>
      <c r="AM73" s="6">
        <v>8</v>
      </c>
      <c r="AN73" s="1">
        <v>10</v>
      </c>
      <c r="AO73" s="1">
        <v>2</v>
      </c>
      <c r="AP73" s="1">
        <v>59</v>
      </c>
      <c r="AQ73" s="1">
        <v>41</v>
      </c>
      <c r="AR73" s="1" t="s">
        <v>278</v>
      </c>
      <c r="AS73" s="1" t="s">
        <v>279</v>
      </c>
      <c r="AT73" s="1" t="s">
        <v>248</v>
      </c>
      <c r="AU73" s="1" t="s">
        <v>84</v>
      </c>
      <c r="AV73" s="1" t="s">
        <v>85</v>
      </c>
      <c r="AW73" s="1" t="s">
        <v>251</v>
      </c>
      <c r="AX73" s="1"/>
    </row>
    <row r="74" spans="1:50" ht="15" customHeight="1">
      <c r="A74" s="1">
        <v>2010</v>
      </c>
      <c r="B74" s="1" t="s">
        <v>246</v>
      </c>
      <c r="C74" s="1" t="s">
        <v>280</v>
      </c>
      <c r="D74" s="1" t="s">
        <v>72</v>
      </c>
      <c r="E74" s="1" t="s">
        <v>145</v>
      </c>
      <c r="F74" s="4">
        <v>40343</v>
      </c>
      <c r="G74" s="1" t="s">
        <v>258</v>
      </c>
      <c r="H74" s="1" t="s">
        <v>122</v>
      </c>
      <c r="I74" s="1" t="s">
        <v>281</v>
      </c>
      <c r="J74" s="5">
        <v>2</v>
      </c>
      <c r="K74" s="5">
        <v>0</v>
      </c>
      <c r="L74" s="1" t="s">
        <v>152</v>
      </c>
      <c r="M74" s="1" t="s">
        <v>78</v>
      </c>
      <c r="N74" s="1" t="s">
        <v>122</v>
      </c>
      <c r="O74" s="1" t="s">
        <v>122</v>
      </c>
      <c r="P74" s="1" t="s">
        <v>31</v>
      </c>
      <c r="Q74" s="2" t="b">
        <v>0</v>
      </c>
      <c r="R74" s="2" t="b">
        <v>0</v>
      </c>
      <c r="S74" s="1" t="s">
        <v>79</v>
      </c>
      <c r="T74" s="5">
        <v>6</v>
      </c>
      <c r="U74" s="5">
        <v>2</v>
      </c>
      <c r="V74" s="5">
        <v>8</v>
      </c>
      <c r="W74" s="1" t="s">
        <v>81</v>
      </c>
      <c r="X74" s="5">
        <v>2</v>
      </c>
      <c r="Y74" s="5">
        <v>1</v>
      </c>
      <c r="Z74" s="5">
        <v>3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3</v>
      </c>
      <c r="AK74" s="1" t="s">
        <v>81</v>
      </c>
      <c r="AL74" s="6">
        <v>14</v>
      </c>
      <c r="AM74" s="6">
        <v>7</v>
      </c>
      <c r="AN74" s="1">
        <v>7</v>
      </c>
      <c r="AO74" s="1">
        <v>3</v>
      </c>
      <c r="AP74" s="1">
        <v>56</v>
      </c>
      <c r="AQ74" s="1">
        <v>44</v>
      </c>
      <c r="AR74" s="1" t="s">
        <v>249</v>
      </c>
      <c r="AS74" s="1" t="s">
        <v>250</v>
      </c>
      <c r="AT74" s="1" t="s">
        <v>248</v>
      </c>
      <c r="AU74" s="1" t="s">
        <v>84</v>
      </c>
      <c r="AV74" s="1" t="s">
        <v>85</v>
      </c>
      <c r="AW74" s="1" t="s">
        <v>251</v>
      </c>
      <c r="AX74" s="1"/>
    </row>
    <row r="75" spans="1:50" ht="15" customHeight="1">
      <c r="A75" s="1">
        <v>2010</v>
      </c>
      <c r="B75" s="1" t="s">
        <v>246</v>
      </c>
      <c r="C75" s="1" t="s">
        <v>282</v>
      </c>
      <c r="D75" s="1" t="s">
        <v>72</v>
      </c>
      <c r="E75" s="1" t="s">
        <v>145</v>
      </c>
      <c r="F75" s="4">
        <v>40343</v>
      </c>
      <c r="G75" s="1" t="s">
        <v>199</v>
      </c>
      <c r="H75" s="1" t="s">
        <v>141</v>
      </c>
      <c r="I75" s="1" t="s">
        <v>283</v>
      </c>
      <c r="J75" s="5">
        <v>1</v>
      </c>
      <c r="K75" s="5">
        <v>0</v>
      </c>
      <c r="L75" s="1" t="s">
        <v>101</v>
      </c>
      <c r="M75" s="1" t="s">
        <v>78</v>
      </c>
      <c r="N75" s="1" t="s">
        <v>141</v>
      </c>
      <c r="O75" s="1" t="s">
        <v>141</v>
      </c>
      <c r="P75" s="1" t="s">
        <v>31</v>
      </c>
      <c r="Q75" s="2" t="b">
        <v>0</v>
      </c>
      <c r="R75" s="2" t="b">
        <v>0</v>
      </c>
      <c r="S75" s="1" t="s">
        <v>79</v>
      </c>
      <c r="T75" s="5">
        <v>0</v>
      </c>
      <c r="U75" s="5">
        <v>3</v>
      </c>
      <c r="V75" s="5">
        <v>3</v>
      </c>
      <c r="W75" s="1" t="s">
        <v>81</v>
      </c>
      <c r="X75" s="5">
        <v>1</v>
      </c>
      <c r="Y75" s="5">
        <v>1</v>
      </c>
      <c r="Z75" s="5">
        <v>2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2</v>
      </c>
      <c r="AK75" s="1" t="s">
        <v>81</v>
      </c>
      <c r="AL75" s="6">
        <v>4</v>
      </c>
      <c r="AM75" s="6">
        <v>7</v>
      </c>
      <c r="AN75" s="1">
        <v>4</v>
      </c>
      <c r="AO75" s="1">
        <v>3</v>
      </c>
      <c r="AP75" s="1">
        <v>45</v>
      </c>
      <c r="AQ75" s="1">
        <v>55</v>
      </c>
      <c r="AR75" s="1" t="s">
        <v>284</v>
      </c>
      <c r="AS75" s="1" t="s">
        <v>285</v>
      </c>
      <c r="AT75" s="1" t="s">
        <v>248</v>
      </c>
      <c r="AU75" s="1" t="s">
        <v>84</v>
      </c>
      <c r="AV75" s="1" t="s">
        <v>85</v>
      </c>
      <c r="AW75" s="1" t="s">
        <v>251</v>
      </c>
      <c r="AX75" s="1"/>
    </row>
    <row r="76" spans="1:50" ht="15" customHeight="1">
      <c r="A76" s="1">
        <v>2010</v>
      </c>
      <c r="B76" s="1" t="s">
        <v>246</v>
      </c>
      <c r="C76" s="1" t="s">
        <v>286</v>
      </c>
      <c r="D76" s="1" t="s">
        <v>72</v>
      </c>
      <c r="E76" s="1" t="s">
        <v>139</v>
      </c>
      <c r="F76" s="4">
        <v>40343</v>
      </c>
      <c r="G76" s="1" t="s">
        <v>253</v>
      </c>
      <c r="H76" s="1" t="s">
        <v>150</v>
      </c>
      <c r="I76" s="1" t="s">
        <v>100</v>
      </c>
      <c r="J76" s="5">
        <v>1</v>
      </c>
      <c r="K76" s="5">
        <v>1</v>
      </c>
      <c r="L76" s="1" t="s">
        <v>190</v>
      </c>
      <c r="M76" s="1" t="s">
        <v>108</v>
      </c>
      <c r="N76" s="1" t="s">
        <v>109</v>
      </c>
      <c r="O76" s="1"/>
      <c r="P76" s="1" t="s">
        <v>110</v>
      </c>
      <c r="Q76" s="2" t="b">
        <v>0</v>
      </c>
      <c r="R76" s="2" t="b">
        <v>0</v>
      </c>
      <c r="S76" s="1" t="s">
        <v>79</v>
      </c>
      <c r="T76" s="5">
        <v>8</v>
      </c>
      <c r="U76" s="5">
        <v>4</v>
      </c>
      <c r="V76" s="5">
        <v>12</v>
      </c>
      <c r="W76" s="1" t="s">
        <v>81</v>
      </c>
      <c r="X76" s="5">
        <v>1</v>
      </c>
      <c r="Y76" s="5">
        <v>1</v>
      </c>
      <c r="Z76" s="5">
        <v>2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2</v>
      </c>
      <c r="AK76" s="1" t="s">
        <v>81</v>
      </c>
      <c r="AL76" s="6">
        <v>7</v>
      </c>
      <c r="AM76" s="6">
        <v>7</v>
      </c>
      <c r="AN76" s="1">
        <v>5</v>
      </c>
      <c r="AO76" s="1">
        <v>1</v>
      </c>
      <c r="AP76" s="1">
        <v>54</v>
      </c>
      <c r="AQ76" s="1">
        <v>46</v>
      </c>
      <c r="AR76" s="1" t="s">
        <v>255</v>
      </c>
      <c r="AS76" s="1" t="s">
        <v>256</v>
      </c>
      <c r="AT76" s="1" t="s">
        <v>248</v>
      </c>
      <c r="AU76" s="1" t="s">
        <v>84</v>
      </c>
      <c r="AV76" s="1" t="s">
        <v>85</v>
      </c>
      <c r="AW76" s="1" t="s">
        <v>251</v>
      </c>
      <c r="AX76" s="1"/>
    </row>
    <row r="77" spans="1:50" ht="15" customHeight="1">
      <c r="A77" s="1">
        <v>2010</v>
      </c>
      <c r="B77" s="1" t="s">
        <v>246</v>
      </c>
      <c r="C77" s="1" t="s">
        <v>287</v>
      </c>
      <c r="D77" s="1" t="s">
        <v>72</v>
      </c>
      <c r="E77" s="1" t="s">
        <v>139</v>
      </c>
      <c r="F77" s="4">
        <v>40344</v>
      </c>
      <c r="G77" s="1" t="s">
        <v>258</v>
      </c>
      <c r="H77" s="1" t="s">
        <v>288</v>
      </c>
      <c r="I77" s="1" t="s">
        <v>289</v>
      </c>
      <c r="J77" s="5">
        <v>1</v>
      </c>
      <c r="K77" s="5">
        <v>1</v>
      </c>
      <c r="L77" s="1" t="s">
        <v>190</v>
      </c>
      <c r="M77" s="1" t="s">
        <v>108</v>
      </c>
      <c r="N77" s="1" t="s">
        <v>109</v>
      </c>
      <c r="O77" s="1"/>
      <c r="P77" s="1" t="s">
        <v>110</v>
      </c>
      <c r="Q77" s="2" t="b">
        <v>0</v>
      </c>
      <c r="R77" s="2" t="b">
        <v>0</v>
      </c>
      <c r="S77" s="1" t="s">
        <v>79</v>
      </c>
      <c r="T77" s="5">
        <v>3</v>
      </c>
      <c r="U77" s="5">
        <v>10</v>
      </c>
      <c r="V77" s="5">
        <v>13</v>
      </c>
      <c r="W77" s="1" t="s">
        <v>81</v>
      </c>
      <c r="X77" s="5">
        <v>2</v>
      </c>
      <c r="Y77" s="5">
        <v>1</v>
      </c>
      <c r="Z77" s="5">
        <v>3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3</v>
      </c>
      <c r="AK77" s="1" t="s">
        <v>81</v>
      </c>
      <c r="AL77" s="6">
        <v>7</v>
      </c>
      <c r="AM77" s="6">
        <v>11</v>
      </c>
      <c r="AN77" s="1">
        <v>2</v>
      </c>
      <c r="AO77" s="1">
        <v>3</v>
      </c>
      <c r="AP77" s="1">
        <v>55</v>
      </c>
      <c r="AQ77" s="1">
        <v>45</v>
      </c>
      <c r="AR77" s="1" t="s">
        <v>266</v>
      </c>
      <c r="AS77" s="1" t="s">
        <v>267</v>
      </c>
      <c r="AT77" s="1" t="s">
        <v>248</v>
      </c>
      <c r="AU77" s="1" t="s">
        <v>84</v>
      </c>
      <c r="AV77" s="1" t="s">
        <v>85</v>
      </c>
      <c r="AW77" s="1" t="s">
        <v>251</v>
      </c>
      <c r="AX77" s="1"/>
    </row>
    <row r="78" spans="1:50" ht="15" customHeight="1">
      <c r="A78" s="1">
        <v>2010</v>
      </c>
      <c r="B78" s="1" t="s">
        <v>246</v>
      </c>
      <c r="C78" s="1" t="s">
        <v>290</v>
      </c>
      <c r="D78" s="1" t="s">
        <v>72</v>
      </c>
      <c r="E78" s="1" t="s">
        <v>156</v>
      </c>
      <c r="F78" s="4">
        <v>40344</v>
      </c>
      <c r="G78" s="1" t="s">
        <v>199</v>
      </c>
      <c r="H78" s="1" t="s">
        <v>116</v>
      </c>
      <c r="I78" s="1" t="s">
        <v>135</v>
      </c>
      <c r="J78" s="5">
        <v>0</v>
      </c>
      <c r="K78" s="5">
        <v>0</v>
      </c>
      <c r="L78" s="1" t="s">
        <v>107</v>
      </c>
      <c r="M78" s="1" t="s">
        <v>108</v>
      </c>
      <c r="N78" s="1" t="s">
        <v>109</v>
      </c>
      <c r="O78" s="1"/>
      <c r="P78" s="1" t="s">
        <v>110</v>
      </c>
      <c r="Q78" s="2" t="b">
        <v>0</v>
      </c>
      <c r="R78" s="2" t="b">
        <v>0</v>
      </c>
      <c r="S78" s="1" t="s">
        <v>79</v>
      </c>
      <c r="T78" s="5">
        <v>6</v>
      </c>
      <c r="U78" s="5">
        <v>4</v>
      </c>
      <c r="V78" s="5">
        <v>10</v>
      </c>
      <c r="W78" s="1" t="s">
        <v>81</v>
      </c>
      <c r="X78" s="5">
        <v>2</v>
      </c>
      <c r="Y78" s="5">
        <v>1</v>
      </c>
      <c r="Z78" s="5">
        <v>3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3</v>
      </c>
      <c r="AK78" s="1" t="s">
        <v>81</v>
      </c>
      <c r="AL78" s="6">
        <v>5</v>
      </c>
      <c r="AM78" s="6">
        <v>7</v>
      </c>
      <c r="AN78" s="1">
        <v>1</v>
      </c>
      <c r="AO78" s="1">
        <v>2</v>
      </c>
      <c r="AP78" s="1">
        <v>50</v>
      </c>
      <c r="AQ78" s="1">
        <v>50</v>
      </c>
      <c r="AR78" s="1" t="s">
        <v>260</v>
      </c>
      <c r="AS78" s="1" t="s">
        <v>261</v>
      </c>
      <c r="AT78" s="1" t="s">
        <v>248</v>
      </c>
      <c r="AU78" s="1" t="s">
        <v>84</v>
      </c>
      <c r="AV78" s="1" t="s">
        <v>85</v>
      </c>
      <c r="AW78" s="1" t="s">
        <v>251</v>
      </c>
      <c r="AX78" s="1"/>
    </row>
    <row r="79" spans="1:50" ht="15" customHeight="1">
      <c r="A79" s="1">
        <v>2010</v>
      </c>
      <c r="B79" s="1" t="s">
        <v>246</v>
      </c>
      <c r="C79" s="1" t="s">
        <v>291</v>
      </c>
      <c r="D79" s="1" t="s">
        <v>72</v>
      </c>
      <c r="E79" s="1" t="s">
        <v>156</v>
      </c>
      <c r="F79" s="4">
        <v>40344</v>
      </c>
      <c r="G79" s="1" t="s">
        <v>253</v>
      </c>
      <c r="H79" s="1" t="s">
        <v>165</v>
      </c>
      <c r="I79" s="1" t="s">
        <v>292</v>
      </c>
      <c r="J79" s="5">
        <v>2</v>
      </c>
      <c r="K79" s="5">
        <v>1</v>
      </c>
      <c r="L79" s="1" t="s">
        <v>117</v>
      </c>
      <c r="M79" s="1" t="s">
        <v>78</v>
      </c>
      <c r="N79" s="1" t="s">
        <v>165</v>
      </c>
      <c r="O79" s="1" t="s">
        <v>165</v>
      </c>
      <c r="P79" s="1" t="s">
        <v>31</v>
      </c>
      <c r="Q79" s="2" t="b">
        <v>0</v>
      </c>
      <c r="R79" s="2" t="b">
        <v>0</v>
      </c>
      <c r="S79" s="1" t="s">
        <v>79</v>
      </c>
      <c r="T79" s="5">
        <v>7</v>
      </c>
      <c r="U79" s="5">
        <v>3</v>
      </c>
      <c r="V79" s="5">
        <v>10</v>
      </c>
      <c r="W79" s="1" t="s">
        <v>81</v>
      </c>
      <c r="X79" s="5">
        <v>1</v>
      </c>
      <c r="Y79" s="5">
        <v>0</v>
      </c>
      <c r="Z79" s="5">
        <v>1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1</v>
      </c>
      <c r="AK79" s="1" t="s">
        <v>81</v>
      </c>
      <c r="AL79" s="6">
        <v>22</v>
      </c>
      <c r="AM79" s="6">
        <v>10</v>
      </c>
      <c r="AN79" s="1">
        <v>10</v>
      </c>
      <c r="AO79" s="1">
        <v>3</v>
      </c>
      <c r="AP79" s="1">
        <v>65</v>
      </c>
      <c r="AQ79" s="1">
        <v>35</v>
      </c>
      <c r="AR79" s="1" t="s">
        <v>264</v>
      </c>
      <c r="AS79" s="1" t="s">
        <v>250</v>
      </c>
      <c r="AT79" s="1" t="s">
        <v>248</v>
      </c>
      <c r="AU79" s="1" t="s">
        <v>84</v>
      </c>
      <c r="AV79" s="1" t="s">
        <v>85</v>
      </c>
      <c r="AW79" s="1" t="s">
        <v>251</v>
      </c>
      <c r="AX79" s="1"/>
    </row>
    <row r="80" spans="1:50" ht="15" customHeight="1">
      <c r="A80" s="1">
        <v>2010</v>
      </c>
      <c r="B80" s="1" t="s">
        <v>246</v>
      </c>
      <c r="C80" s="1" t="s">
        <v>293</v>
      </c>
      <c r="D80" s="1" t="s">
        <v>72</v>
      </c>
      <c r="E80" s="1" t="s">
        <v>170</v>
      </c>
      <c r="F80" s="4">
        <v>40345</v>
      </c>
      <c r="G80" s="1" t="s">
        <v>258</v>
      </c>
      <c r="H80" s="1" t="s">
        <v>294</v>
      </c>
      <c r="I80" s="1" t="s">
        <v>295</v>
      </c>
      <c r="J80" s="5">
        <v>0</v>
      </c>
      <c r="K80" s="5">
        <v>1</v>
      </c>
      <c r="L80" s="1" t="s">
        <v>123</v>
      </c>
      <c r="M80" s="1" t="s">
        <v>93</v>
      </c>
      <c r="N80" s="1" t="s">
        <v>295</v>
      </c>
      <c r="O80" s="1" t="s">
        <v>295</v>
      </c>
      <c r="P80" s="1" t="s">
        <v>31</v>
      </c>
      <c r="Q80" s="2" t="b">
        <v>0</v>
      </c>
      <c r="R80" s="2" t="b">
        <v>0</v>
      </c>
      <c r="S80" s="1" t="s">
        <v>79</v>
      </c>
      <c r="T80" s="5">
        <v>4</v>
      </c>
      <c r="U80" s="5">
        <v>6</v>
      </c>
      <c r="V80" s="5">
        <v>10</v>
      </c>
      <c r="W80" s="1" t="s">
        <v>81</v>
      </c>
      <c r="X80" s="5">
        <v>1</v>
      </c>
      <c r="Y80" s="5">
        <v>2</v>
      </c>
      <c r="Z80" s="5">
        <v>3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3</v>
      </c>
      <c r="AK80" s="1" t="s">
        <v>81</v>
      </c>
      <c r="AL80" s="6">
        <v>5</v>
      </c>
      <c r="AM80" s="6">
        <v>17</v>
      </c>
      <c r="AN80" s="1">
        <v>2</v>
      </c>
      <c r="AO80" s="1">
        <v>5</v>
      </c>
      <c r="AP80" s="1">
        <v>45</v>
      </c>
      <c r="AQ80" s="1">
        <v>55</v>
      </c>
      <c r="AR80" s="1" t="s">
        <v>296</v>
      </c>
      <c r="AS80" s="1" t="s">
        <v>297</v>
      </c>
      <c r="AT80" s="1" t="s">
        <v>248</v>
      </c>
      <c r="AU80" s="1" t="s">
        <v>84</v>
      </c>
      <c r="AV80" s="1" t="s">
        <v>85</v>
      </c>
      <c r="AW80" s="1" t="s">
        <v>251</v>
      </c>
      <c r="AX80" s="1"/>
    </row>
    <row r="81" spans="1:50" ht="15" customHeight="1">
      <c r="A81" s="1">
        <v>2010</v>
      </c>
      <c r="B81" s="1" t="s">
        <v>246</v>
      </c>
      <c r="C81" s="1" t="s">
        <v>298</v>
      </c>
      <c r="D81" s="1" t="s">
        <v>72</v>
      </c>
      <c r="E81" s="1" t="s">
        <v>170</v>
      </c>
      <c r="F81" s="4">
        <v>40345</v>
      </c>
      <c r="G81" s="1" t="s">
        <v>199</v>
      </c>
      <c r="H81" s="1" t="s">
        <v>171</v>
      </c>
      <c r="I81" s="1" t="s">
        <v>161</v>
      </c>
      <c r="J81" s="5">
        <v>0</v>
      </c>
      <c r="K81" s="5">
        <v>1</v>
      </c>
      <c r="L81" s="1" t="s">
        <v>123</v>
      </c>
      <c r="M81" s="1" t="s">
        <v>93</v>
      </c>
      <c r="N81" s="1" t="s">
        <v>161</v>
      </c>
      <c r="O81" s="1" t="s">
        <v>161</v>
      </c>
      <c r="P81" s="1" t="s">
        <v>31</v>
      </c>
      <c r="Q81" s="2" t="b">
        <v>0</v>
      </c>
      <c r="R81" s="2" t="b">
        <v>0</v>
      </c>
      <c r="S81" s="1" t="s">
        <v>79</v>
      </c>
      <c r="T81" s="5">
        <v>12</v>
      </c>
      <c r="U81" s="5">
        <v>3</v>
      </c>
      <c r="V81" s="5">
        <v>15</v>
      </c>
      <c r="W81" s="1" t="s">
        <v>81</v>
      </c>
      <c r="X81" s="5">
        <v>0</v>
      </c>
      <c r="Y81" s="5">
        <v>4</v>
      </c>
      <c r="Z81" s="5">
        <v>4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4</v>
      </c>
      <c r="AK81" s="1" t="s">
        <v>81</v>
      </c>
      <c r="AL81" s="6">
        <v>20</v>
      </c>
      <c r="AM81" s="6">
        <v>7</v>
      </c>
      <c r="AN81" s="1">
        <v>7</v>
      </c>
      <c r="AO81" s="1">
        <v>4</v>
      </c>
      <c r="AP81" s="1">
        <v>68</v>
      </c>
      <c r="AQ81" s="1">
        <v>32</v>
      </c>
      <c r="AR81" s="1" t="s">
        <v>278</v>
      </c>
      <c r="AS81" s="1" t="s">
        <v>279</v>
      </c>
      <c r="AT81" s="1" t="s">
        <v>248</v>
      </c>
      <c r="AU81" s="1" t="s">
        <v>84</v>
      </c>
      <c r="AV81" s="1" t="s">
        <v>85</v>
      </c>
      <c r="AW81" s="1" t="s">
        <v>251</v>
      </c>
      <c r="AX81" s="1"/>
    </row>
    <row r="82" spans="1:50" ht="15" customHeight="1">
      <c r="A82" s="1">
        <v>2010</v>
      </c>
      <c r="B82" s="1" t="s">
        <v>246</v>
      </c>
      <c r="C82" s="1" t="s">
        <v>299</v>
      </c>
      <c r="D82" s="1" t="s">
        <v>72</v>
      </c>
      <c r="E82" s="1" t="s">
        <v>73</v>
      </c>
      <c r="F82" s="4">
        <v>40345</v>
      </c>
      <c r="G82" s="1" t="s">
        <v>253</v>
      </c>
      <c r="H82" s="1" t="s">
        <v>248</v>
      </c>
      <c r="I82" s="1" t="s">
        <v>254</v>
      </c>
      <c r="J82" s="5">
        <v>0</v>
      </c>
      <c r="K82" s="5">
        <v>3</v>
      </c>
      <c r="L82" s="1" t="s">
        <v>148</v>
      </c>
      <c r="M82" s="1" t="s">
        <v>93</v>
      </c>
      <c r="N82" s="1" t="s">
        <v>254</v>
      </c>
      <c r="O82" s="1" t="s">
        <v>254</v>
      </c>
      <c r="P82" s="1" t="s">
        <v>31</v>
      </c>
      <c r="Q82" s="2" t="b">
        <v>0</v>
      </c>
      <c r="R82" s="2" t="b">
        <v>0</v>
      </c>
      <c r="S82" s="1" t="s">
        <v>79</v>
      </c>
      <c r="T82" s="5">
        <v>3</v>
      </c>
      <c r="U82" s="5">
        <v>4</v>
      </c>
      <c r="V82" s="5">
        <v>7</v>
      </c>
      <c r="W82" s="1" t="s">
        <v>81</v>
      </c>
      <c r="X82" s="5">
        <v>2</v>
      </c>
      <c r="Y82" s="5">
        <v>0</v>
      </c>
      <c r="Z82" s="5">
        <v>2</v>
      </c>
      <c r="AA82" s="5">
        <v>1</v>
      </c>
      <c r="AB82" s="5">
        <v>0</v>
      </c>
      <c r="AC82" s="5">
        <v>1</v>
      </c>
      <c r="AD82" s="5">
        <v>0</v>
      </c>
      <c r="AE82" s="5">
        <v>0</v>
      </c>
      <c r="AF82" s="5">
        <v>0</v>
      </c>
      <c r="AG82" s="5">
        <v>1</v>
      </c>
      <c r="AH82" s="5">
        <v>0</v>
      </c>
      <c r="AI82" s="5">
        <v>1</v>
      </c>
      <c r="AJ82" s="5">
        <v>3</v>
      </c>
      <c r="AK82" s="1" t="s">
        <v>81</v>
      </c>
      <c r="AL82" s="6">
        <v>8</v>
      </c>
      <c r="AM82" s="6">
        <v>18</v>
      </c>
      <c r="AN82" s="1">
        <v>3</v>
      </c>
      <c r="AO82" s="1">
        <v>6</v>
      </c>
      <c r="AP82" s="1">
        <v>53</v>
      </c>
      <c r="AQ82" s="1">
        <v>47</v>
      </c>
      <c r="AR82" s="1" t="s">
        <v>275</v>
      </c>
      <c r="AS82" s="1" t="s">
        <v>276</v>
      </c>
      <c r="AT82" s="1" t="s">
        <v>248</v>
      </c>
      <c r="AU82" s="1" t="s">
        <v>84</v>
      </c>
      <c r="AV82" s="1" t="s">
        <v>85</v>
      </c>
      <c r="AW82" s="1" t="s">
        <v>251</v>
      </c>
      <c r="AX82" s="1"/>
    </row>
    <row r="83" spans="1:50" ht="15" customHeight="1">
      <c r="A83" s="1">
        <v>2010</v>
      </c>
      <c r="B83" s="1" t="s">
        <v>246</v>
      </c>
      <c r="C83" s="1" t="s">
        <v>300</v>
      </c>
      <c r="D83" s="1" t="s">
        <v>72</v>
      </c>
      <c r="E83" s="1" t="s">
        <v>97</v>
      </c>
      <c r="F83" s="4">
        <v>40346</v>
      </c>
      <c r="G83" s="1" t="s">
        <v>258</v>
      </c>
      <c r="H83" s="1" t="s">
        <v>115</v>
      </c>
      <c r="I83" s="1" t="s">
        <v>157</v>
      </c>
      <c r="J83" s="5">
        <v>4</v>
      </c>
      <c r="K83" s="5">
        <v>1</v>
      </c>
      <c r="L83" s="1" t="s">
        <v>301</v>
      </c>
      <c r="M83" s="1" t="s">
        <v>78</v>
      </c>
      <c r="N83" s="1" t="s">
        <v>115</v>
      </c>
      <c r="O83" s="1" t="s">
        <v>115</v>
      </c>
      <c r="P83" s="1" t="s">
        <v>31</v>
      </c>
      <c r="Q83" s="2" t="b">
        <v>0</v>
      </c>
      <c r="R83" s="2" t="b">
        <v>0</v>
      </c>
      <c r="S83" s="1" t="s">
        <v>79</v>
      </c>
      <c r="T83" s="5">
        <v>6</v>
      </c>
      <c r="U83" s="5">
        <v>2</v>
      </c>
      <c r="V83" s="5">
        <v>8</v>
      </c>
      <c r="W83" s="1" t="s">
        <v>81</v>
      </c>
      <c r="X83" s="5">
        <v>3</v>
      </c>
      <c r="Y83" s="5">
        <v>2</v>
      </c>
      <c r="Z83" s="5">
        <v>5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5</v>
      </c>
      <c r="AK83" s="1" t="s">
        <v>81</v>
      </c>
      <c r="AL83" s="6">
        <v>21</v>
      </c>
      <c r="AM83" s="6">
        <v>11</v>
      </c>
      <c r="AN83" s="1">
        <v>11</v>
      </c>
      <c r="AO83" s="1">
        <v>2</v>
      </c>
      <c r="AP83" s="1">
        <v>58</v>
      </c>
      <c r="AQ83" s="1">
        <v>42</v>
      </c>
      <c r="AR83" s="1" t="s">
        <v>249</v>
      </c>
      <c r="AS83" s="1" t="s">
        <v>250</v>
      </c>
      <c r="AT83" s="1" t="s">
        <v>248</v>
      </c>
      <c r="AU83" s="1" t="s">
        <v>84</v>
      </c>
      <c r="AV83" s="1" t="s">
        <v>85</v>
      </c>
      <c r="AW83" s="1" t="s">
        <v>251</v>
      </c>
      <c r="AX83" s="1"/>
    </row>
    <row r="84" spans="1:50" ht="15" customHeight="1">
      <c r="A84" s="1">
        <v>2010</v>
      </c>
      <c r="B84" s="1" t="s">
        <v>246</v>
      </c>
      <c r="C84" s="1" t="s">
        <v>302</v>
      </c>
      <c r="D84" s="1" t="s">
        <v>72</v>
      </c>
      <c r="E84" s="1" t="s">
        <v>97</v>
      </c>
      <c r="F84" s="4">
        <v>40346</v>
      </c>
      <c r="G84" s="1" t="s">
        <v>199</v>
      </c>
      <c r="H84" s="1" t="s">
        <v>259</v>
      </c>
      <c r="I84" s="1" t="s">
        <v>263</v>
      </c>
      <c r="J84" s="5">
        <v>2</v>
      </c>
      <c r="K84" s="5">
        <v>1</v>
      </c>
      <c r="L84" s="1" t="s">
        <v>117</v>
      </c>
      <c r="M84" s="1" t="s">
        <v>78</v>
      </c>
      <c r="N84" s="1" t="s">
        <v>259</v>
      </c>
      <c r="O84" s="1" t="s">
        <v>259</v>
      </c>
      <c r="P84" s="1" t="s">
        <v>31</v>
      </c>
      <c r="Q84" s="2" t="b">
        <v>0</v>
      </c>
      <c r="R84" s="2" t="b">
        <v>0</v>
      </c>
      <c r="S84" s="1" t="s">
        <v>79</v>
      </c>
      <c r="T84" s="5">
        <v>11</v>
      </c>
      <c r="U84" s="5">
        <v>3</v>
      </c>
      <c r="V84" s="5">
        <v>14</v>
      </c>
      <c r="W84" s="1" t="s">
        <v>81</v>
      </c>
      <c r="X84" s="5">
        <v>3</v>
      </c>
      <c r="Y84" s="5">
        <v>1</v>
      </c>
      <c r="Z84" s="5">
        <v>4</v>
      </c>
      <c r="AA84" s="5">
        <v>0</v>
      </c>
      <c r="AB84" s="5">
        <v>1</v>
      </c>
      <c r="AC84" s="5">
        <v>1</v>
      </c>
      <c r="AD84" s="5">
        <v>0</v>
      </c>
      <c r="AE84" s="5">
        <v>0</v>
      </c>
      <c r="AF84" s="5">
        <v>0</v>
      </c>
      <c r="AG84" s="5">
        <v>0</v>
      </c>
      <c r="AH84" s="5">
        <v>1</v>
      </c>
      <c r="AI84" s="5">
        <v>1</v>
      </c>
      <c r="AJ84" s="5">
        <v>5</v>
      </c>
      <c r="AK84" s="1" t="s">
        <v>81</v>
      </c>
      <c r="AL84" s="6">
        <v>22</v>
      </c>
      <c r="AM84" s="6">
        <v>8</v>
      </c>
      <c r="AN84" s="1">
        <v>11</v>
      </c>
      <c r="AO84" s="1">
        <v>4</v>
      </c>
      <c r="AP84" s="1">
        <v>56</v>
      </c>
      <c r="AQ84" s="1">
        <v>44</v>
      </c>
      <c r="AR84" s="1" t="s">
        <v>284</v>
      </c>
      <c r="AS84" s="1" t="s">
        <v>285</v>
      </c>
      <c r="AT84" s="1" t="s">
        <v>248</v>
      </c>
      <c r="AU84" s="1" t="s">
        <v>84</v>
      </c>
      <c r="AV84" s="1" t="s">
        <v>85</v>
      </c>
      <c r="AW84" s="1" t="s">
        <v>251</v>
      </c>
      <c r="AX84" s="1"/>
    </row>
    <row r="85" spans="1:50" ht="15" customHeight="1">
      <c r="A85" s="1">
        <v>2010</v>
      </c>
      <c r="B85" s="1" t="s">
        <v>246</v>
      </c>
      <c r="C85" s="1" t="s">
        <v>303</v>
      </c>
      <c r="D85" s="1" t="s">
        <v>72</v>
      </c>
      <c r="E85" s="1" t="s">
        <v>73</v>
      </c>
      <c r="F85" s="4">
        <v>40346</v>
      </c>
      <c r="G85" s="1" t="s">
        <v>253</v>
      </c>
      <c r="H85" s="1" t="s">
        <v>160</v>
      </c>
      <c r="I85" s="1" t="s">
        <v>128</v>
      </c>
      <c r="J85" s="5">
        <v>0</v>
      </c>
      <c r="K85" s="5">
        <v>2</v>
      </c>
      <c r="L85" s="1" t="s">
        <v>92</v>
      </c>
      <c r="M85" s="1" t="s">
        <v>93</v>
      </c>
      <c r="N85" s="1" t="s">
        <v>128</v>
      </c>
      <c r="O85" s="1" t="s">
        <v>128</v>
      </c>
      <c r="P85" s="1" t="s">
        <v>31</v>
      </c>
      <c r="Q85" s="2" t="b">
        <v>0</v>
      </c>
      <c r="R85" s="2" t="b">
        <v>0</v>
      </c>
      <c r="S85" s="1" t="s">
        <v>79</v>
      </c>
      <c r="T85" s="5">
        <v>7</v>
      </c>
      <c r="U85" s="5">
        <v>1</v>
      </c>
      <c r="V85" s="5">
        <v>8</v>
      </c>
      <c r="W85" s="1" t="s">
        <v>81</v>
      </c>
      <c r="X85" s="5">
        <v>2</v>
      </c>
      <c r="Y85" s="5">
        <v>4</v>
      </c>
      <c r="Z85" s="5">
        <v>6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6</v>
      </c>
      <c r="AK85" s="1" t="s">
        <v>81</v>
      </c>
      <c r="AL85" s="6">
        <v>10</v>
      </c>
      <c r="AM85" s="6">
        <v>12</v>
      </c>
      <c r="AN85" s="1">
        <v>4</v>
      </c>
      <c r="AO85" s="1">
        <v>5</v>
      </c>
      <c r="AP85" s="1">
        <v>53</v>
      </c>
      <c r="AQ85" s="1">
        <v>47</v>
      </c>
      <c r="AR85" s="1" t="s">
        <v>271</v>
      </c>
      <c r="AS85" s="1" t="s">
        <v>272</v>
      </c>
      <c r="AT85" s="1" t="s">
        <v>248</v>
      </c>
      <c r="AU85" s="1" t="s">
        <v>84</v>
      </c>
      <c r="AV85" s="1" t="s">
        <v>85</v>
      </c>
      <c r="AW85" s="1" t="s">
        <v>251</v>
      </c>
      <c r="AX85" s="1"/>
    </row>
    <row r="86" spans="1:50" ht="15" customHeight="1">
      <c r="A86" s="1">
        <v>2010</v>
      </c>
      <c r="B86" s="1" t="s">
        <v>246</v>
      </c>
      <c r="C86" s="1" t="s">
        <v>304</v>
      </c>
      <c r="D86" s="1" t="s">
        <v>72</v>
      </c>
      <c r="E86" s="1" t="s">
        <v>127</v>
      </c>
      <c r="F86" s="4">
        <v>40347</v>
      </c>
      <c r="G86" s="1" t="s">
        <v>258</v>
      </c>
      <c r="H86" s="1" t="s">
        <v>75</v>
      </c>
      <c r="I86" s="1" t="s">
        <v>274</v>
      </c>
      <c r="J86" s="5">
        <v>0</v>
      </c>
      <c r="K86" s="5">
        <v>1</v>
      </c>
      <c r="L86" s="1" t="s">
        <v>123</v>
      </c>
      <c r="M86" s="1" t="s">
        <v>93</v>
      </c>
      <c r="N86" s="1" t="s">
        <v>274</v>
      </c>
      <c r="O86" s="1" t="s">
        <v>274</v>
      </c>
      <c r="P86" s="1" t="s">
        <v>31</v>
      </c>
      <c r="Q86" s="2" t="b">
        <v>0</v>
      </c>
      <c r="R86" s="2" t="b">
        <v>0</v>
      </c>
      <c r="S86" s="1" t="s">
        <v>79</v>
      </c>
      <c r="T86" s="5">
        <v>7</v>
      </c>
      <c r="U86" s="5">
        <v>1</v>
      </c>
      <c r="V86" s="5">
        <v>8</v>
      </c>
      <c r="W86" s="1" t="s">
        <v>81</v>
      </c>
      <c r="X86" s="5">
        <v>4</v>
      </c>
      <c r="Y86" s="5">
        <v>4</v>
      </c>
      <c r="Z86" s="5">
        <v>8</v>
      </c>
      <c r="AA86" s="5">
        <v>0</v>
      </c>
      <c r="AB86" s="5">
        <v>0</v>
      </c>
      <c r="AC86" s="5">
        <v>0</v>
      </c>
      <c r="AD86" s="5">
        <v>1</v>
      </c>
      <c r="AE86" s="5">
        <v>0</v>
      </c>
      <c r="AF86" s="5">
        <v>1</v>
      </c>
      <c r="AG86" s="5">
        <v>1</v>
      </c>
      <c r="AH86" s="5">
        <v>0</v>
      </c>
      <c r="AI86" s="5">
        <v>1</v>
      </c>
      <c r="AJ86" s="5">
        <v>9</v>
      </c>
      <c r="AK86" s="1" t="s">
        <v>81</v>
      </c>
      <c r="AL86" s="6">
        <v>11</v>
      </c>
      <c r="AM86" s="6">
        <v>10</v>
      </c>
      <c r="AN86" s="1">
        <v>4</v>
      </c>
      <c r="AO86" s="1">
        <v>3</v>
      </c>
      <c r="AP86" s="1">
        <v>54</v>
      </c>
      <c r="AQ86" s="1">
        <v>46</v>
      </c>
      <c r="AR86" s="1" t="s">
        <v>260</v>
      </c>
      <c r="AS86" s="1" t="s">
        <v>261</v>
      </c>
      <c r="AT86" s="1" t="s">
        <v>248</v>
      </c>
      <c r="AU86" s="1" t="s">
        <v>84</v>
      </c>
      <c r="AV86" s="1" t="s">
        <v>85</v>
      </c>
      <c r="AW86" s="1" t="s">
        <v>251</v>
      </c>
      <c r="AX86" s="1"/>
    </row>
    <row r="87" spans="1:50" ht="15" customHeight="1">
      <c r="A87" s="1">
        <v>2010</v>
      </c>
      <c r="B87" s="1" t="s">
        <v>246</v>
      </c>
      <c r="C87" s="1" t="s">
        <v>305</v>
      </c>
      <c r="D87" s="1" t="s">
        <v>72</v>
      </c>
      <c r="E87" s="1" t="s">
        <v>114</v>
      </c>
      <c r="F87" s="4">
        <v>40347</v>
      </c>
      <c r="G87" s="1" t="s">
        <v>199</v>
      </c>
      <c r="H87" s="1" t="s">
        <v>270</v>
      </c>
      <c r="I87" s="1" t="s">
        <v>146</v>
      </c>
      <c r="J87" s="5">
        <v>2</v>
      </c>
      <c r="K87" s="5">
        <v>2</v>
      </c>
      <c r="L87" s="1" t="s">
        <v>177</v>
      </c>
      <c r="M87" s="1" t="s">
        <v>108</v>
      </c>
      <c r="N87" s="1" t="s">
        <v>109</v>
      </c>
      <c r="O87" s="1"/>
      <c r="P87" s="1" t="s">
        <v>110</v>
      </c>
      <c r="Q87" s="2" t="b">
        <v>0</v>
      </c>
      <c r="R87" s="2" t="b">
        <v>0</v>
      </c>
      <c r="S87" s="1" t="s">
        <v>79</v>
      </c>
      <c r="T87" s="5">
        <v>2</v>
      </c>
      <c r="U87" s="5">
        <v>4</v>
      </c>
      <c r="V87" s="5">
        <v>6</v>
      </c>
      <c r="W87" s="1" t="s">
        <v>81</v>
      </c>
      <c r="X87" s="5">
        <v>4</v>
      </c>
      <c r="Y87" s="5">
        <v>1</v>
      </c>
      <c r="Z87" s="5">
        <v>5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5</v>
      </c>
      <c r="AK87" s="1" t="s">
        <v>81</v>
      </c>
      <c r="AL87" s="6">
        <v>6</v>
      </c>
      <c r="AM87" s="6">
        <v>12</v>
      </c>
      <c r="AN87" s="1">
        <v>4</v>
      </c>
      <c r="AO87" s="1">
        <v>6</v>
      </c>
      <c r="AP87" s="1">
        <v>52</v>
      </c>
      <c r="AQ87" s="1">
        <v>48</v>
      </c>
      <c r="AR87" s="1" t="s">
        <v>264</v>
      </c>
      <c r="AS87" s="1" t="s">
        <v>250</v>
      </c>
      <c r="AT87" s="1" t="s">
        <v>248</v>
      </c>
      <c r="AU87" s="1" t="s">
        <v>84</v>
      </c>
      <c r="AV87" s="1" t="s">
        <v>85</v>
      </c>
      <c r="AW87" s="1" t="s">
        <v>251</v>
      </c>
      <c r="AX87" s="1"/>
    </row>
    <row r="88" spans="1:50" ht="15" customHeight="1">
      <c r="A88" s="1">
        <v>2010</v>
      </c>
      <c r="B88" s="1" t="s">
        <v>246</v>
      </c>
      <c r="C88" s="1" t="s">
        <v>306</v>
      </c>
      <c r="D88" s="1" t="s">
        <v>72</v>
      </c>
      <c r="E88" s="1" t="s">
        <v>114</v>
      </c>
      <c r="F88" s="4">
        <v>40347</v>
      </c>
      <c r="G88" s="1" t="s">
        <v>253</v>
      </c>
      <c r="H88" s="1" t="s">
        <v>99</v>
      </c>
      <c r="I88" s="1" t="s">
        <v>269</v>
      </c>
      <c r="J88" s="5">
        <v>0</v>
      </c>
      <c r="K88" s="5">
        <v>0</v>
      </c>
      <c r="L88" s="1" t="s">
        <v>107</v>
      </c>
      <c r="M88" s="1" t="s">
        <v>108</v>
      </c>
      <c r="N88" s="1" t="s">
        <v>109</v>
      </c>
      <c r="O88" s="1"/>
      <c r="P88" s="1" t="s">
        <v>110</v>
      </c>
      <c r="Q88" s="2" t="b">
        <v>0</v>
      </c>
      <c r="R88" s="2" t="b">
        <v>0</v>
      </c>
      <c r="S88" s="1" t="s">
        <v>79</v>
      </c>
      <c r="T88" s="5">
        <v>10</v>
      </c>
      <c r="U88" s="5">
        <v>3</v>
      </c>
      <c r="V88" s="5">
        <v>13</v>
      </c>
      <c r="W88" s="1" t="s">
        <v>81</v>
      </c>
      <c r="X88" s="5">
        <v>1</v>
      </c>
      <c r="Y88" s="5">
        <v>1</v>
      </c>
      <c r="Z88" s="5">
        <v>2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2</v>
      </c>
      <c r="AK88" s="1" t="s">
        <v>81</v>
      </c>
      <c r="AL88" s="6">
        <v>11</v>
      </c>
      <c r="AM88" s="6">
        <v>6</v>
      </c>
      <c r="AN88" s="1">
        <v>5</v>
      </c>
      <c r="AO88" s="1">
        <v>1</v>
      </c>
      <c r="AP88" s="1">
        <v>51</v>
      </c>
      <c r="AQ88" s="1">
        <v>49</v>
      </c>
      <c r="AR88" s="1" t="s">
        <v>255</v>
      </c>
      <c r="AS88" s="1" t="s">
        <v>256</v>
      </c>
      <c r="AT88" s="1" t="s">
        <v>248</v>
      </c>
      <c r="AU88" s="1" t="s">
        <v>84</v>
      </c>
      <c r="AV88" s="1" t="s">
        <v>85</v>
      </c>
      <c r="AW88" s="1" t="s">
        <v>251</v>
      </c>
      <c r="AX88" s="1"/>
    </row>
    <row r="89" spans="1:50" ht="15" customHeight="1">
      <c r="A89" s="1">
        <v>2010</v>
      </c>
      <c r="B89" s="1" t="s">
        <v>246</v>
      </c>
      <c r="C89" s="1" t="s">
        <v>307</v>
      </c>
      <c r="D89" s="1" t="s">
        <v>72</v>
      </c>
      <c r="E89" s="1" t="s">
        <v>145</v>
      </c>
      <c r="F89" s="4">
        <v>40348</v>
      </c>
      <c r="G89" s="1" t="s">
        <v>258</v>
      </c>
      <c r="H89" s="1" t="s">
        <v>122</v>
      </c>
      <c r="I89" s="1" t="s">
        <v>141</v>
      </c>
      <c r="J89" s="5">
        <v>1</v>
      </c>
      <c r="K89" s="5">
        <v>0</v>
      </c>
      <c r="L89" s="1" t="s">
        <v>101</v>
      </c>
      <c r="M89" s="1" t="s">
        <v>78</v>
      </c>
      <c r="N89" s="1" t="s">
        <v>122</v>
      </c>
      <c r="O89" s="1" t="s">
        <v>122</v>
      </c>
      <c r="P89" s="1" t="s">
        <v>31</v>
      </c>
      <c r="Q89" s="2" t="b">
        <v>0</v>
      </c>
      <c r="R89" s="2" t="b">
        <v>0</v>
      </c>
      <c r="S89" s="1" t="s">
        <v>79</v>
      </c>
      <c r="T89" s="5">
        <v>4</v>
      </c>
      <c r="U89" s="5">
        <v>5</v>
      </c>
      <c r="V89" s="5">
        <v>9</v>
      </c>
      <c r="W89" s="1" t="s">
        <v>81</v>
      </c>
      <c r="X89" s="5">
        <v>1</v>
      </c>
      <c r="Y89" s="5">
        <v>0</v>
      </c>
      <c r="Z89" s="5">
        <v>1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1</v>
      </c>
      <c r="AK89" s="1" t="s">
        <v>81</v>
      </c>
      <c r="AL89" s="6">
        <v>7</v>
      </c>
      <c r="AM89" s="6">
        <v>10</v>
      </c>
      <c r="AN89" s="1">
        <v>5</v>
      </c>
      <c r="AO89" s="1">
        <v>3</v>
      </c>
      <c r="AP89" s="1">
        <v>62</v>
      </c>
      <c r="AQ89" s="1">
        <v>38</v>
      </c>
      <c r="AR89" s="1" t="s">
        <v>278</v>
      </c>
      <c r="AS89" s="1" t="s">
        <v>279</v>
      </c>
      <c r="AT89" s="1" t="s">
        <v>248</v>
      </c>
      <c r="AU89" s="1" t="s">
        <v>84</v>
      </c>
      <c r="AV89" s="1" t="s">
        <v>85</v>
      </c>
      <c r="AW89" s="1" t="s">
        <v>251</v>
      </c>
      <c r="AX89" s="1"/>
    </row>
    <row r="90" spans="1:50" ht="15" customHeight="1">
      <c r="A90" s="1">
        <v>2010</v>
      </c>
      <c r="B90" s="1" t="s">
        <v>246</v>
      </c>
      <c r="C90" s="1" t="s">
        <v>308</v>
      </c>
      <c r="D90" s="1" t="s">
        <v>72</v>
      </c>
      <c r="E90" s="1" t="s">
        <v>127</v>
      </c>
      <c r="F90" s="4">
        <v>40348</v>
      </c>
      <c r="G90" s="1" t="s">
        <v>199</v>
      </c>
      <c r="H90" s="1" t="s">
        <v>151</v>
      </c>
      <c r="I90" s="1" t="s">
        <v>140</v>
      </c>
      <c r="J90" s="5">
        <v>1</v>
      </c>
      <c r="K90" s="5">
        <v>1</v>
      </c>
      <c r="L90" s="1" t="s">
        <v>190</v>
      </c>
      <c r="M90" s="1" t="s">
        <v>108</v>
      </c>
      <c r="N90" s="1" t="s">
        <v>109</v>
      </c>
      <c r="O90" s="1"/>
      <c r="P90" s="1" t="s">
        <v>110</v>
      </c>
      <c r="Q90" s="2" t="b">
        <v>0</v>
      </c>
      <c r="R90" s="2" t="b">
        <v>0</v>
      </c>
      <c r="S90" s="1" t="s">
        <v>79</v>
      </c>
      <c r="T90" s="5">
        <v>6</v>
      </c>
      <c r="U90" s="5">
        <v>1</v>
      </c>
      <c r="V90" s="5">
        <v>7</v>
      </c>
      <c r="W90" s="1" t="s">
        <v>81</v>
      </c>
      <c r="X90" s="5">
        <v>3</v>
      </c>
      <c r="Y90" s="5">
        <v>1</v>
      </c>
      <c r="Z90" s="5">
        <v>4</v>
      </c>
      <c r="AA90" s="5">
        <v>0</v>
      </c>
      <c r="AB90" s="5">
        <v>1</v>
      </c>
      <c r="AC90" s="5">
        <v>1</v>
      </c>
      <c r="AD90" s="5">
        <v>0</v>
      </c>
      <c r="AE90" s="5">
        <v>0</v>
      </c>
      <c r="AF90" s="5">
        <v>0</v>
      </c>
      <c r="AG90" s="5">
        <v>0</v>
      </c>
      <c r="AH90" s="5">
        <v>1</v>
      </c>
      <c r="AI90" s="5">
        <v>1</v>
      </c>
      <c r="AJ90" s="5">
        <v>5</v>
      </c>
      <c r="AK90" s="1" t="s">
        <v>81</v>
      </c>
      <c r="AL90" s="6">
        <v>16</v>
      </c>
      <c r="AM90" s="6">
        <v>8</v>
      </c>
      <c r="AN90" s="1">
        <v>6</v>
      </c>
      <c r="AO90" s="1">
        <v>5</v>
      </c>
      <c r="AP90" s="1">
        <v>49</v>
      </c>
      <c r="AQ90" s="1">
        <v>51</v>
      </c>
      <c r="AR90" s="1" t="s">
        <v>266</v>
      </c>
      <c r="AS90" s="1" t="s">
        <v>267</v>
      </c>
      <c r="AT90" s="1" t="s">
        <v>248</v>
      </c>
      <c r="AU90" s="1" t="s">
        <v>84</v>
      </c>
      <c r="AV90" s="1" t="s">
        <v>85</v>
      </c>
      <c r="AW90" s="1" t="s">
        <v>251</v>
      </c>
      <c r="AX90" s="1"/>
    </row>
    <row r="91" spans="1:50" ht="15" customHeight="1">
      <c r="A91" s="1">
        <v>2010</v>
      </c>
      <c r="B91" s="1" t="s">
        <v>246</v>
      </c>
      <c r="C91" s="1" t="s">
        <v>309</v>
      </c>
      <c r="D91" s="1" t="s">
        <v>72</v>
      </c>
      <c r="E91" s="1" t="s">
        <v>145</v>
      </c>
      <c r="F91" s="4">
        <v>40348</v>
      </c>
      <c r="G91" s="1" t="s">
        <v>253</v>
      </c>
      <c r="H91" s="1" t="s">
        <v>283</v>
      </c>
      <c r="I91" s="1" t="s">
        <v>281</v>
      </c>
      <c r="J91" s="5">
        <v>1</v>
      </c>
      <c r="K91" s="5">
        <v>2</v>
      </c>
      <c r="L91" s="1" t="s">
        <v>200</v>
      </c>
      <c r="M91" s="1" t="s">
        <v>93</v>
      </c>
      <c r="N91" s="1" t="s">
        <v>281</v>
      </c>
      <c r="O91" s="1" t="s">
        <v>281</v>
      </c>
      <c r="P91" s="1" t="s">
        <v>31</v>
      </c>
      <c r="Q91" s="2" t="b">
        <v>0</v>
      </c>
      <c r="R91" s="2" t="b">
        <v>0</v>
      </c>
      <c r="S91" s="1" t="s">
        <v>79</v>
      </c>
      <c r="T91" s="5">
        <v>7</v>
      </c>
      <c r="U91" s="5">
        <v>2</v>
      </c>
      <c r="V91" s="5">
        <v>9</v>
      </c>
      <c r="W91" s="1" t="s">
        <v>81</v>
      </c>
      <c r="X91" s="5">
        <v>2</v>
      </c>
      <c r="Y91" s="5">
        <v>2</v>
      </c>
      <c r="Z91" s="5">
        <v>4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4</v>
      </c>
      <c r="AK91" s="1" t="s">
        <v>81</v>
      </c>
      <c r="AL91" s="6">
        <v>16</v>
      </c>
      <c r="AM91" s="6">
        <v>9</v>
      </c>
      <c r="AN91" s="1">
        <v>8</v>
      </c>
      <c r="AO91" s="1">
        <v>6</v>
      </c>
      <c r="AP91" s="1">
        <v>62</v>
      </c>
      <c r="AQ91" s="1">
        <v>38</v>
      </c>
      <c r="AR91" s="1" t="s">
        <v>275</v>
      </c>
      <c r="AS91" s="1" t="s">
        <v>276</v>
      </c>
      <c r="AT91" s="1" t="s">
        <v>248</v>
      </c>
      <c r="AU91" s="1" t="s">
        <v>84</v>
      </c>
      <c r="AV91" s="1" t="s">
        <v>85</v>
      </c>
      <c r="AW91" s="1" t="s">
        <v>251</v>
      </c>
      <c r="AX91" s="1"/>
    </row>
    <row r="92" spans="1:50" ht="15" customHeight="1">
      <c r="A92" s="1">
        <v>2010</v>
      </c>
      <c r="B92" s="1" t="s">
        <v>246</v>
      </c>
      <c r="C92" s="1" t="s">
        <v>310</v>
      </c>
      <c r="D92" s="1" t="s">
        <v>72</v>
      </c>
      <c r="E92" s="1" t="s">
        <v>139</v>
      </c>
      <c r="F92" s="4">
        <v>40349</v>
      </c>
      <c r="G92" s="1" t="s">
        <v>258</v>
      </c>
      <c r="H92" s="1" t="s">
        <v>289</v>
      </c>
      <c r="I92" s="1" t="s">
        <v>100</v>
      </c>
      <c r="J92" s="5">
        <v>0</v>
      </c>
      <c r="K92" s="5">
        <v>2</v>
      </c>
      <c r="L92" s="1" t="s">
        <v>92</v>
      </c>
      <c r="M92" s="1" t="s">
        <v>93</v>
      </c>
      <c r="N92" s="1" t="s">
        <v>100</v>
      </c>
      <c r="O92" s="1" t="s">
        <v>100</v>
      </c>
      <c r="P92" s="1" t="s">
        <v>31</v>
      </c>
      <c r="Q92" s="2" t="b">
        <v>0</v>
      </c>
      <c r="R92" s="2" t="b">
        <v>0</v>
      </c>
      <c r="S92" s="1" t="s">
        <v>79</v>
      </c>
      <c r="T92" s="5">
        <v>3</v>
      </c>
      <c r="U92" s="5">
        <v>1</v>
      </c>
      <c r="V92" s="5">
        <v>4</v>
      </c>
      <c r="W92" s="1" t="s">
        <v>81</v>
      </c>
      <c r="X92" s="5">
        <v>4</v>
      </c>
      <c r="Y92" s="5">
        <v>1</v>
      </c>
      <c r="Z92" s="5">
        <v>5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5</v>
      </c>
      <c r="AK92" s="1" t="s">
        <v>81</v>
      </c>
      <c r="AL92" s="6">
        <v>4</v>
      </c>
      <c r="AM92" s="6">
        <v>11</v>
      </c>
      <c r="AN92" s="1">
        <v>1</v>
      </c>
      <c r="AO92" s="1">
        <v>5</v>
      </c>
      <c r="AP92" s="1">
        <v>53</v>
      </c>
      <c r="AQ92" s="1">
        <v>47</v>
      </c>
      <c r="AR92" s="1" t="s">
        <v>284</v>
      </c>
      <c r="AS92" s="1" t="s">
        <v>285</v>
      </c>
      <c r="AT92" s="1" t="s">
        <v>248</v>
      </c>
      <c r="AU92" s="1" t="s">
        <v>84</v>
      </c>
      <c r="AV92" s="1" t="s">
        <v>85</v>
      </c>
      <c r="AW92" s="1" t="s">
        <v>251</v>
      </c>
      <c r="AX92" s="1"/>
    </row>
    <row r="93" spans="1:50" ht="15" customHeight="1">
      <c r="A93" s="1">
        <v>2010</v>
      </c>
      <c r="B93" s="1" t="s">
        <v>246</v>
      </c>
      <c r="C93" s="1" t="s">
        <v>311</v>
      </c>
      <c r="D93" s="1" t="s">
        <v>72</v>
      </c>
      <c r="E93" s="1" t="s">
        <v>139</v>
      </c>
      <c r="F93" s="4">
        <v>40349</v>
      </c>
      <c r="G93" s="1" t="s">
        <v>199</v>
      </c>
      <c r="H93" s="1" t="s">
        <v>150</v>
      </c>
      <c r="I93" s="1" t="s">
        <v>288</v>
      </c>
      <c r="J93" s="5">
        <v>1</v>
      </c>
      <c r="K93" s="5">
        <v>1</v>
      </c>
      <c r="L93" s="1" t="s">
        <v>190</v>
      </c>
      <c r="M93" s="1" t="s">
        <v>108</v>
      </c>
      <c r="N93" s="1" t="s">
        <v>109</v>
      </c>
      <c r="O93" s="1"/>
      <c r="P93" s="1" t="s">
        <v>110</v>
      </c>
      <c r="Q93" s="2" t="b">
        <v>0</v>
      </c>
      <c r="R93" s="2" t="b">
        <v>0</v>
      </c>
      <c r="S93" s="1" t="s">
        <v>79</v>
      </c>
      <c r="T93" s="5">
        <v>15</v>
      </c>
      <c r="U93" s="5">
        <v>0</v>
      </c>
      <c r="V93" s="5">
        <v>15</v>
      </c>
      <c r="W93" s="1" t="s">
        <v>81</v>
      </c>
      <c r="X93" s="5">
        <v>0</v>
      </c>
      <c r="Y93" s="5">
        <v>3</v>
      </c>
      <c r="Z93" s="5">
        <v>3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3</v>
      </c>
      <c r="AK93" s="1" t="s">
        <v>81</v>
      </c>
      <c r="AL93" s="6">
        <v>15</v>
      </c>
      <c r="AM93" s="6">
        <v>3</v>
      </c>
      <c r="AN93" s="1">
        <v>6</v>
      </c>
      <c r="AO93" s="1">
        <v>1</v>
      </c>
      <c r="AP93" s="1">
        <v>62</v>
      </c>
      <c r="AQ93" s="1">
        <v>38</v>
      </c>
      <c r="AR93" s="1" t="s">
        <v>296</v>
      </c>
      <c r="AS93" s="1" t="s">
        <v>297</v>
      </c>
      <c r="AT93" s="1" t="s">
        <v>248</v>
      </c>
      <c r="AU93" s="1" t="s">
        <v>84</v>
      </c>
      <c r="AV93" s="1" t="s">
        <v>85</v>
      </c>
      <c r="AW93" s="1" t="s">
        <v>251</v>
      </c>
      <c r="AX93" s="1"/>
    </row>
    <row r="94" spans="1:50" ht="15" customHeight="1">
      <c r="A94" s="1">
        <v>2010</v>
      </c>
      <c r="B94" s="1" t="s">
        <v>246</v>
      </c>
      <c r="C94" s="1" t="s">
        <v>312</v>
      </c>
      <c r="D94" s="1" t="s">
        <v>72</v>
      </c>
      <c r="E94" s="1" t="s">
        <v>156</v>
      </c>
      <c r="F94" s="4">
        <v>40349</v>
      </c>
      <c r="G94" s="1" t="s">
        <v>253</v>
      </c>
      <c r="H94" s="1" t="s">
        <v>165</v>
      </c>
      <c r="I94" s="1" t="s">
        <v>116</v>
      </c>
      <c r="J94" s="5">
        <v>3</v>
      </c>
      <c r="K94" s="5">
        <v>1</v>
      </c>
      <c r="L94" s="1" t="s">
        <v>130</v>
      </c>
      <c r="M94" s="1" t="s">
        <v>78</v>
      </c>
      <c r="N94" s="1" t="s">
        <v>165</v>
      </c>
      <c r="O94" s="1" t="s">
        <v>165</v>
      </c>
      <c r="P94" s="1" t="s">
        <v>31</v>
      </c>
      <c r="Q94" s="2" t="b">
        <v>0</v>
      </c>
      <c r="R94" s="2" t="b">
        <v>0</v>
      </c>
      <c r="S94" s="1" t="s">
        <v>79</v>
      </c>
      <c r="T94" s="5">
        <v>4</v>
      </c>
      <c r="U94" s="5">
        <v>3</v>
      </c>
      <c r="V94" s="5">
        <v>7</v>
      </c>
      <c r="W94" s="1" t="s">
        <v>81</v>
      </c>
      <c r="X94" s="5">
        <v>1</v>
      </c>
      <c r="Y94" s="5">
        <v>3</v>
      </c>
      <c r="Z94" s="5">
        <v>4</v>
      </c>
      <c r="AA94" s="5">
        <v>0</v>
      </c>
      <c r="AB94" s="5">
        <v>0</v>
      </c>
      <c r="AC94" s="5">
        <v>0</v>
      </c>
      <c r="AD94" s="5">
        <v>1</v>
      </c>
      <c r="AE94" s="5">
        <v>0</v>
      </c>
      <c r="AF94" s="5">
        <v>1</v>
      </c>
      <c r="AG94" s="5">
        <v>1</v>
      </c>
      <c r="AH94" s="5">
        <v>0</v>
      </c>
      <c r="AI94" s="5">
        <v>1</v>
      </c>
      <c r="AJ94" s="5">
        <v>5</v>
      </c>
      <c r="AK94" s="1" t="s">
        <v>81</v>
      </c>
      <c r="AL94" s="6">
        <v>10</v>
      </c>
      <c r="AM94" s="6">
        <v>7</v>
      </c>
      <c r="AN94" s="1">
        <v>6</v>
      </c>
      <c r="AO94" s="1">
        <v>4</v>
      </c>
      <c r="AP94" s="1">
        <v>59</v>
      </c>
      <c r="AQ94" s="1">
        <v>41</v>
      </c>
      <c r="AR94" s="1" t="s">
        <v>249</v>
      </c>
      <c r="AS94" s="1" t="s">
        <v>250</v>
      </c>
      <c r="AT94" s="1" t="s">
        <v>248</v>
      </c>
      <c r="AU94" s="1" t="s">
        <v>84</v>
      </c>
      <c r="AV94" s="1" t="s">
        <v>85</v>
      </c>
      <c r="AW94" s="1" t="s">
        <v>251</v>
      </c>
      <c r="AX94" s="1"/>
    </row>
    <row r="95" spans="1:50" ht="15" customHeight="1">
      <c r="A95" s="1">
        <v>2010</v>
      </c>
      <c r="B95" s="1" t="s">
        <v>246</v>
      </c>
      <c r="C95" s="1" t="s">
        <v>313</v>
      </c>
      <c r="D95" s="1" t="s">
        <v>72</v>
      </c>
      <c r="E95" s="1" t="s">
        <v>156</v>
      </c>
      <c r="F95" s="4">
        <v>40350</v>
      </c>
      <c r="G95" s="1" t="s">
        <v>258</v>
      </c>
      <c r="H95" s="1" t="s">
        <v>135</v>
      </c>
      <c r="I95" s="1" t="s">
        <v>292</v>
      </c>
      <c r="J95" s="5">
        <v>7</v>
      </c>
      <c r="K95" s="5">
        <v>0</v>
      </c>
      <c r="L95" s="1" t="s">
        <v>314</v>
      </c>
      <c r="M95" s="1" t="s">
        <v>78</v>
      </c>
      <c r="N95" s="1" t="s">
        <v>135</v>
      </c>
      <c r="O95" s="1" t="s">
        <v>135</v>
      </c>
      <c r="P95" s="1" t="s">
        <v>31</v>
      </c>
      <c r="Q95" s="2" t="b">
        <v>0</v>
      </c>
      <c r="R95" s="2" t="b">
        <v>0</v>
      </c>
      <c r="S95" s="1" t="s">
        <v>79</v>
      </c>
      <c r="T95" s="5">
        <v>5</v>
      </c>
      <c r="U95" s="5">
        <v>1</v>
      </c>
      <c r="V95" s="5">
        <v>6</v>
      </c>
      <c r="W95" s="1" t="s">
        <v>81</v>
      </c>
      <c r="X95" s="5">
        <v>2</v>
      </c>
      <c r="Y95" s="5">
        <v>2</v>
      </c>
      <c r="Z95" s="5">
        <v>4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4</v>
      </c>
      <c r="AK95" s="1" t="s">
        <v>81</v>
      </c>
      <c r="AL95" s="6">
        <v>22</v>
      </c>
      <c r="AM95" s="6">
        <v>11</v>
      </c>
      <c r="AN95" s="1">
        <v>13</v>
      </c>
      <c r="AO95" s="1">
        <v>3</v>
      </c>
      <c r="AP95" s="1">
        <v>53</v>
      </c>
      <c r="AQ95" s="1">
        <v>47</v>
      </c>
      <c r="AR95" s="1" t="s">
        <v>255</v>
      </c>
      <c r="AS95" s="1" t="s">
        <v>256</v>
      </c>
      <c r="AT95" s="1" t="s">
        <v>248</v>
      </c>
      <c r="AU95" s="1" t="s">
        <v>84</v>
      </c>
      <c r="AV95" s="1" t="s">
        <v>85</v>
      </c>
      <c r="AW95" s="1" t="s">
        <v>251</v>
      </c>
      <c r="AX95" s="1"/>
    </row>
    <row r="96" spans="1:50" ht="15" customHeight="1">
      <c r="A96" s="1">
        <v>2010</v>
      </c>
      <c r="B96" s="1" t="s">
        <v>246</v>
      </c>
      <c r="C96" s="1" t="s">
        <v>315</v>
      </c>
      <c r="D96" s="1" t="s">
        <v>72</v>
      </c>
      <c r="E96" s="1" t="s">
        <v>170</v>
      </c>
      <c r="F96" s="4">
        <v>40350</v>
      </c>
      <c r="G96" s="1" t="s">
        <v>199</v>
      </c>
      <c r="H96" s="1" t="s">
        <v>295</v>
      </c>
      <c r="I96" s="1" t="s">
        <v>161</v>
      </c>
      <c r="J96" s="5">
        <v>1</v>
      </c>
      <c r="K96" s="5">
        <v>0</v>
      </c>
      <c r="L96" s="1" t="s">
        <v>101</v>
      </c>
      <c r="M96" s="1" t="s">
        <v>78</v>
      </c>
      <c r="N96" s="1" t="s">
        <v>295</v>
      </c>
      <c r="O96" s="1" t="s">
        <v>295</v>
      </c>
      <c r="P96" s="1" t="s">
        <v>31</v>
      </c>
      <c r="Q96" s="2" t="b">
        <v>0</v>
      </c>
      <c r="R96" s="2" t="b">
        <v>0</v>
      </c>
      <c r="S96" s="1" t="s">
        <v>79</v>
      </c>
      <c r="T96" s="5">
        <v>5</v>
      </c>
      <c r="U96" s="5">
        <v>3</v>
      </c>
      <c r="V96" s="5">
        <v>8</v>
      </c>
      <c r="W96" s="1" t="s">
        <v>81</v>
      </c>
      <c r="X96" s="5">
        <v>6</v>
      </c>
      <c r="Y96" s="5">
        <v>3</v>
      </c>
      <c r="Z96" s="5">
        <v>9</v>
      </c>
      <c r="AA96" s="5">
        <v>0</v>
      </c>
      <c r="AB96" s="5">
        <v>1</v>
      </c>
      <c r="AC96" s="5">
        <v>1</v>
      </c>
      <c r="AD96" s="5">
        <v>0</v>
      </c>
      <c r="AE96" s="5">
        <v>0</v>
      </c>
      <c r="AF96" s="5">
        <v>0</v>
      </c>
      <c r="AG96" s="5">
        <v>0</v>
      </c>
      <c r="AH96" s="5">
        <v>1</v>
      </c>
      <c r="AI96" s="5">
        <v>1</v>
      </c>
      <c r="AJ96" s="5">
        <v>10</v>
      </c>
      <c r="AK96" s="1" t="s">
        <v>81</v>
      </c>
      <c r="AL96" s="6">
        <v>15</v>
      </c>
      <c r="AM96" s="6">
        <v>6</v>
      </c>
      <c r="AN96" s="1">
        <v>6</v>
      </c>
      <c r="AO96" s="1">
        <v>0</v>
      </c>
      <c r="AP96" s="1">
        <v>60</v>
      </c>
      <c r="AQ96" s="1">
        <v>40</v>
      </c>
      <c r="AR96" s="1" t="s">
        <v>260</v>
      </c>
      <c r="AS96" s="1" t="s">
        <v>261</v>
      </c>
      <c r="AT96" s="1" t="s">
        <v>248</v>
      </c>
      <c r="AU96" s="1" t="s">
        <v>84</v>
      </c>
      <c r="AV96" s="1" t="s">
        <v>85</v>
      </c>
      <c r="AW96" s="1" t="s">
        <v>251</v>
      </c>
      <c r="AX96" s="1"/>
    </row>
    <row r="97" spans="1:50" ht="15" customHeight="1">
      <c r="A97" s="1">
        <v>2010</v>
      </c>
      <c r="B97" s="1" t="s">
        <v>246</v>
      </c>
      <c r="C97" s="1" t="s">
        <v>316</v>
      </c>
      <c r="D97" s="1" t="s">
        <v>72</v>
      </c>
      <c r="E97" s="1" t="s">
        <v>170</v>
      </c>
      <c r="F97" s="4">
        <v>40350</v>
      </c>
      <c r="G97" s="1" t="s">
        <v>253</v>
      </c>
      <c r="H97" s="1" t="s">
        <v>171</v>
      </c>
      <c r="I97" s="1" t="s">
        <v>294</v>
      </c>
      <c r="J97" s="5">
        <v>2</v>
      </c>
      <c r="K97" s="5">
        <v>0</v>
      </c>
      <c r="L97" s="1" t="s">
        <v>152</v>
      </c>
      <c r="M97" s="1" t="s">
        <v>78</v>
      </c>
      <c r="N97" s="1" t="s">
        <v>171</v>
      </c>
      <c r="O97" s="1" t="s">
        <v>171</v>
      </c>
      <c r="P97" s="1" t="s">
        <v>31</v>
      </c>
      <c r="Q97" s="2" t="b">
        <v>0</v>
      </c>
      <c r="R97" s="2" t="b">
        <v>0</v>
      </c>
      <c r="S97" s="1" t="s">
        <v>79</v>
      </c>
      <c r="T97" s="5">
        <v>12</v>
      </c>
      <c r="U97" s="5">
        <v>2</v>
      </c>
      <c r="V97" s="5">
        <v>14</v>
      </c>
      <c r="W97" s="1" t="s">
        <v>81</v>
      </c>
      <c r="X97" s="5">
        <v>0</v>
      </c>
      <c r="Y97" s="5">
        <v>2</v>
      </c>
      <c r="Z97" s="5">
        <v>2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2</v>
      </c>
      <c r="AK97" s="1" t="s">
        <v>81</v>
      </c>
      <c r="AL97" s="6">
        <v>14</v>
      </c>
      <c r="AM97" s="6">
        <v>4</v>
      </c>
      <c r="AN97" s="1">
        <v>7</v>
      </c>
      <c r="AO97" s="1">
        <v>0</v>
      </c>
      <c r="AP97" s="1">
        <v>65</v>
      </c>
      <c r="AQ97" s="1">
        <v>35</v>
      </c>
      <c r="AR97" s="1" t="s">
        <v>264</v>
      </c>
      <c r="AS97" s="1" t="s">
        <v>250</v>
      </c>
      <c r="AT97" s="1" t="s">
        <v>248</v>
      </c>
      <c r="AU97" s="1" t="s">
        <v>84</v>
      </c>
      <c r="AV97" s="1" t="s">
        <v>85</v>
      </c>
      <c r="AW97" s="1" t="s">
        <v>251</v>
      </c>
      <c r="AX97" s="1"/>
    </row>
    <row r="98" spans="1:50" ht="15" customHeight="1">
      <c r="A98" s="1">
        <v>2010</v>
      </c>
      <c r="B98" s="1" t="s">
        <v>246</v>
      </c>
      <c r="C98" s="1" t="s">
        <v>317</v>
      </c>
      <c r="D98" s="1" t="s">
        <v>72</v>
      </c>
      <c r="E98" s="1" t="s">
        <v>73</v>
      </c>
      <c r="F98" s="4">
        <v>40351</v>
      </c>
      <c r="G98" s="1" t="s">
        <v>199</v>
      </c>
      <c r="H98" s="1" t="s">
        <v>160</v>
      </c>
      <c r="I98" s="1" t="s">
        <v>248</v>
      </c>
      <c r="J98" s="5">
        <v>1</v>
      </c>
      <c r="K98" s="5">
        <v>2</v>
      </c>
      <c r="L98" s="1" t="s">
        <v>200</v>
      </c>
      <c r="M98" s="1" t="s">
        <v>93</v>
      </c>
      <c r="N98" s="1" t="s">
        <v>248</v>
      </c>
      <c r="O98" s="1" t="s">
        <v>248</v>
      </c>
      <c r="P98" s="1" t="s">
        <v>31</v>
      </c>
      <c r="Q98" s="2" t="b">
        <v>0</v>
      </c>
      <c r="R98" s="2" t="b">
        <v>0</v>
      </c>
      <c r="S98" s="1" t="s">
        <v>79</v>
      </c>
      <c r="T98" s="5">
        <v>3</v>
      </c>
      <c r="U98" s="5">
        <v>5</v>
      </c>
      <c r="V98" s="5">
        <v>8</v>
      </c>
      <c r="W98" s="1" t="s">
        <v>81</v>
      </c>
      <c r="X98" s="5">
        <v>1</v>
      </c>
      <c r="Y98" s="5">
        <v>0</v>
      </c>
      <c r="Z98" s="5">
        <v>1</v>
      </c>
      <c r="AA98" s="5">
        <v>1</v>
      </c>
      <c r="AB98" s="5">
        <v>0</v>
      </c>
      <c r="AC98" s="5">
        <v>1</v>
      </c>
      <c r="AD98" s="5">
        <v>0</v>
      </c>
      <c r="AE98" s="5">
        <v>0</v>
      </c>
      <c r="AF98" s="5">
        <v>0</v>
      </c>
      <c r="AG98" s="5">
        <v>1</v>
      </c>
      <c r="AH98" s="5">
        <v>0</v>
      </c>
      <c r="AI98" s="5">
        <v>1</v>
      </c>
      <c r="AJ98" s="5">
        <v>2</v>
      </c>
      <c r="AK98" s="1" t="s">
        <v>81</v>
      </c>
      <c r="AL98" s="6">
        <v>10</v>
      </c>
      <c r="AM98" s="6">
        <v>16</v>
      </c>
      <c r="AN98" s="1">
        <v>5</v>
      </c>
      <c r="AO98" s="1">
        <v>9</v>
      </c>
      <c r="AP98" s="1">
        <v>50</v>
      </c>
      <c r="AQ98" s="1">
        <v>50</v>
      </c>
      <c r="AR98" s="1" t="s">
        <v>284</v>
      </c>
      <c r="AS98" s="1" t="s">
        <v>285</v>
      </c>
      <c r="AT98" s="1" t="s">
        <v>248</v>
      </c>
      <c r="AU98" s="1" t="s">
        <v>84</v>
      </c>
      <c r="AV98" s="1" t="s">
        <v>85</v>
      </c>
      <c r="AW98" s="1" t="s">
        <v>251</v>
      </c>
      <c r="AX98" s="1"/>
    </row>
    <row r="99" spans="1:50" ht="15" customHeight="1">
      <c r="A99" s="1">
        <v>2010</v>
      </c>
      <c r="B99" s="1" t="s">
        <v>246</v>
      </c>
      <c r="C99" s="1" t="s">
        <v>318</v>
      </c>
      <c r="D99" s="1" t="s">
        <v>72</v>
      </c>
      <c r="E99" s="1" t="s">
        <v>73</v>
      </c>
      <c r="F99" s="4">
        <v>40351</v>
      </c>
      <c r="G99" s="1" t="s">
        <v>199</v>
      </c>
      <c r="H99" s="1" t="s">
        <v>128</v>
      </c>
      <c r="I99" s="1" t="s">
        <v>254</v>
      </c>
      <c r="J99" s="5">
        <v>0</v>
      </c>
      <c r="K99" s="5">
        <v>1</v>
      </c>
      <c r="L99" s="1" t="s">
        <v>123</v>
      </c>
      <c r="M99" s="1" t="s">
        <v>93</v>
      </c>
      <c r="N99" s="1" t="s">
        <v>254</v>
      </c>
      <c r="O99" s="1" t="s">
        <v>254</v>
      </c>
      <c r="P99" s="1" t="s">
        <v>31</v>
      </c>
      <c r="Q99" s="2" t="b">
        <v>0</v>
      </c>
      <c r="R99" s="2" t="b">
        <v>0</v>
      </c>
      <c r="S99" s="1" t="s">
        <v>79</v>
      </c>
      <c r="T99" s="5">
        <v>6</v>
      </c>
      <c r="U99" s="5">
        <v>7</v>
      </c>
      <c r="V99" s="5">
        <v>13</v>
      </c>
      <c r="W99" s="1" t="s">
        <v>81</v>
      </c>
      <c r="X99" s="5">
        <v>2</v>
      </c>
      <c r="Y99" s="5">
        <v>1</v>
      </c>
      <c r="Z99" s="5">
        <v>3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3</v>
      </c>
      <c r="AK99" s="1" t="s">
        <v>81</v>
      </c>
      <c r="AL99" s="6">
        <v>7</v>
      </c>
      <c r="AM99" s="6">
        <v>12</v>
      </c>
      <c r="AN99" s="1">
        <v>2</v>
      </c>
      <c r="AO99" s="1">
        <v>5</v>
      </c>
      <c r="AP99" s="1">
        <v>63</v>
      </c>
      <c r="AQ99" s="1">
        <v>37</v>
      </c>
      <c r="AR99" s="1" t="s">
        <v>266</v>
      </c>
      <c r="AS99" s="1" t="s">
        <v>267</v>
      </c>
      <c r="AT99" s="1" t="s">
        <v>248</v>
      </c>
      <c r="AU99" s="1" t="s">
        <v>84</v>
      </c>
      <c r="AV99" s="1" t="s">
        <v>85</v>
      </c>
      <c r="AW99" s="1" t="s">
        <v>251</v>
      </c>
      <c r="AX99" s="1"/>
    </row>
    <row r="100" spans="1:50" ht="15" customHeight="1">
      <c r="A100" s="1">
        <v>2010</v>
      </c>
      <c r="B100" s="1" t="s">
        <v>246</v>
      </c>
      <c r="C100" s="1" t="s">
        <v>319</v>
      </c>
      <c r="D100" s="1" t="s">
        <v>72</v>
      </c>
      <c r="E100" s="1" t="s">
        <v>97</v>
      </c>
      <c r="F100" s="4">
        <v>40351</v>
      </c>
      <c r="G100" s="1" t="s">
        <v>253</v>
      </c>
      <c r="H100" s="1" t="s">
        <v>259</v>
      </c>
      <c r="I100" s="1" t="s">
        <v>115</v>
      </c>
      <c r="J100" s="5">
        <v>0</v>
      </c>
      <c r="K100" s="5">
        <v>2</v>
      </c>
      <c r="L100" s="1" t="s">
        <v>92</v>
      </c>
      <c r="M100" s="1" t="s">
        <v>93</v>
      </c>
      <c r="N100" s="1" t="s">
        <v>115</v>
      </c>
      <c r="O100" s="1" t="s">
        <v>115</v>
      </c>
      <c r="P100" s="1" t="s">
        <v>31</v>
      </c>
      <c r="Q100" s="2" t="b">
        <v>0</v>
      </c>
      <c r="R100" s="2" t="b">
        <v>0</v>
      </c>
      <c r="S100" s="1" t="s">
        <v>79</v>
      </c>
      <c r="T100" s="5">
        <v>1</v>
      </c>
      <c r="U100" s="5">
        <v>10</v>
      </c>
      <c r="V100" s="5">
        <v>11</v>
      </c>
      <c r="W100" s="1" t="s">
        <v>81</v>
      </c>
      <c r="X100" s="5">
        <v>1</v>
      </c>
      <c r="Y100" s="5">
        <v>1</v>
      </c>
      <c r="Z100" s="5">
        <v>2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2</v>
      </c>
      <c r="AK100" s="1" t="s">
        <v>81</v>
      </c>
      <c r="AL100" s="6">
        <v>5</v>
      </c>
      <c r="AM100" s="6">
        <v>15</v>
      </c>
      <c r="AN100" s="1">
        <v>3</v>
      </c>
      <c r="AO100" s="1">
        <v>11</v>
      </c>
      <c r="AP100" s="1">
        <v>33</v>
      </c>
      <c r="AQ100" s="1">
        <v>67</v>
      </c>
      <c r="AR100" s="1" t="s">
        <v>271</v>
      </c>
      <c r="AS100" s="1" t="s">
        <v>272</v>
      </c>
      <c r="AT100" s="1" t="s">
        <v>248</v>
      </c>
      <c r="AU100" s="1" t="s">
        <v>84</v>
      </c>
      <c r="AV100" s="1" t="s">
        <v>85</v>
      </c>
      <c r="AW100" s="1" t="s">
        <v>251</v>
      </c>
      <c r="AX100" s="1"/>
    </row>
    <row r="101" spans="1:50" ht="15" customHeight="1">
      <c r="A101" s="1">
        <v>2010</v>
      </c>
      <c r="B101" s="1" t="s">
        <v>246</v>
      </c>
      <c r="C101" s="1" t="s">
        <v>320</v>
      </c>
      <c r="D101" s="1" t="s">
        <v>72</v>
      </c>
      <c r="E101" s="1" t="s">
        <v>97</v>
      </c>
      <c r="F101" s="4">
        <v>40351</v>
      </c>
      <c r="G101" s="1" t="s">
        <v>253</v>
      </c>
      <c r="H101" s="1" t="s">
        <v>263</v>
      </c>
      <c r="I101" s="1" t="s">
        <v>157</v>
      </c>
      <c r="J101" s="5">
        <v>2</v>
      </c>
      <c r="K101" s="5">
        <v>2</v>
      </c>
      <c r="L101" s="1" t="s">
        <v>177</v>
      </c>
      <c r="M101" s="1" t="s">
        <v>108</v>
      </c>
      <c r="N101" s="1" t="s">
        <v>109</v>
      </c>
      <c r="O101" s="1"/>
      <c r="P101" s="1" t="s">
        <v>110</v>
      </c>
      <c r="Q101" s="2" t="b">
        <v>0</v>
      </c>
      <c r="R101" s="2" t="b">
        <v>0</v>
      </c>
      <c r="S101" s="1" t="s">
        <v>79</v>
      </c>
      <c r="T101" s="5">
        <v>1</v>
      </c>
      <c r="U101" s="5">
        <v>7</v>
      </c>
      <c r="V101" s="5">
        <v>8</v>
      </c>
      <c r="W101" s="1" t="s">
        <v>81</v>
      </c>
      <c r="X101" s="5">
        <v>3</v>
      </c>
      <c r="Y101" s="5">
        <v>1</v>
      </c>
      <c r="Z101" s="5">
        <v>4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4</v>
      </c>
      <c r="AK101" s="1" t="s">
        <v>81</v>
      </c>
      <c r="AL101" s="6">
        <v>12</v>
      </c>
      <c r="AM101" s="6">
        <v>15</v>
      </c>
      <c r="AN101" s="1">
        <v>4</v>
      </c>
      <c r="AO101" s="1">
        <v>8</v>
      </c>
      <c r="AP101" s="1">
        <v>46</v>
      </c>
      <c r="AQ101" s="1">
        <v>54</v>
      </c>
      <c r="AR101" s="1" t="s">
        <v>278</v>
      </c>
      <c r="AS101" s="1" t="s">
        <v>279</v>
      </c>
      <c r="AT101" s="1" t="s">
        <v>248</v>
      </c>
      <c r="AU101" s="1" t="s">
        <v>84</v>
      </c>
      <c r="AV101" s="1" t="s">
        <v>85</v>
      </c>
      <c r="AW101" s="1" t="s">
        <v>251</v>
      </c>
      <c r="AX101" s="1"/>
    </row>
    <row r="102" spans="1:50" ht="15" customHeight="1">
      <c r="A102" s="1">
        <v>2010</v>
      </c>
      <c r="B102" s="1" t="s">
        <v>246</v>
      </c>
      <c r="C102" s="1" t="s">
        <v>321</v>
      </c>
      <c r="D102" s="1" t="s">
        <v>72</v>
      </c>
      <c r="E102" s="1" t="s">
        <v>114</v>
      </c>
      <c r="F102" s="4">
        <v>40352</v>
      </c>
      <c r="G102" s="1" t="s">
        <v>199</v>
      </c>
      <c r="H102" s="1" t="s">
        <v>270</v>
      </c>
      <c r="I102" s="1" t="s">
        <v>99</v>
      </c>
      <c r="J102" s="5">
        <v>0</v>
      </c>
      <c r="K102" s="5">
        <v>1</v>
      </c>
      <c r="L102" s="1" t="s">
        <v>123</v>
      </c>
      <c r="M102" s="1" t="s">
        <v>93</v>
      </c>
      <c r="N102" s="1" t="s">
        <v>99</v>
      </c>
      <c r="O102" s="1" t="s">
        <v>99</v>
      </c>
      <c r="P102" s="1" t="s">
        <v>31</v>
      </c>
      <c r="Q102" s="2" t="b">
        <v>0</v>
      </c>
      <c r="R102" s="2" t="b">
        <v>0</v>
      </c>
      <c r="S102" s="1" t="s">
        <v>79</v>
      </c>
      <c r="T102" s="5">
        <v>2</v>
      </c>
      <c r="U102" s="5">
        <v>11</v>
      </c>
      <c r="V102" s="5">
        <v>13</v>
      </c>
      <c r="W102" s="1" t="s">
        <v>81</v>
      </c>
      <c r="X102" s="5">
        <v>3</v>
      </c>
      <c r="Y102" s="5">
        <v>1</v>
      </c>
      <c r="Z102" s="5">
        <v>4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4</v>
      </c>
      <c r="AK102" s="1" t="s">
        <v>81</v>
      </c>
      <c r="AL102" s="6">
        <v>11</v>
      </c>
      <c r="AM102" s="6">
        <v>13</v>
      </c>
      <c r="AN102" s="1">
        <v>6</v>
      </c>
      <c r="AO102" s="1">
        <v>8</v>
      </c>
      <c r="AP102" s="1">
        <v>46</v>
      </c>
      <c r="AQ102" s="1">
        <v>54</v>
      </c>
      <c r="AR102" s="1" t="s">
        <v>260</v>
      </c>
      <c r="AS102" s="1" t="s">
        <v>261</v>
      </c>
      <c r="AT102" s="1" t="s">
        <v>248</v>
      </c>
      <c r="AU102" s="1" t="s">
        <v>84</v>
      </c>
      <c r="AV102" s="1" t="s">
        <v>85</v>
      </c>
      <c r="AW102" s="1" t="s">
        <v>251</v>
      </c>
      <c r="AX102" s="1"/>
    </row>
    <row r="103" spans="1:50" ht="15" customHeight="1">
      <c r="A103" s="1">
        <v>2010</v>
      </c>
      <c r="B103" s="1" t="s">
        <v>246</v>
      </c>
      <c r="C103" s="1" t="s">
        <v>322</v>
      </c>
      <c r="D103" s="1" t="s">
        <v>72</v>
      </c>
      <c r="E103" s="1" t="s">
        <v>114</v>
      </c>
      <c r="F103" s="4">
        <v>40352</v>
      </c>
      <c r="G103" s="1" t="s">
        <v>199</v>
      </c>
      <c r="H103" s="1" t="s">
        <v>146</v>
      </c>
      <c r="I103" s="1" t="s">
        <v>269</v>
      </c>
      <c r="J103" s="5">
        <v>1</v>
      </c>
      <c r="K103" s="5">
        <v>0</v>
      </c>
      <c r="L103" s="1" t="s">
        <v>101</v>
      </c>
      <c r="M103" s="1" t="s">
        <v>78</v>
      </c>
      <c r="N103" s="1" t="s">
        <v>146</v>
      </c>
      <c r="O103" s="1" t="s">
        <v>146</v>
      </c>
      <c r="P103" s="1" t="s">
        <v>31</v>
      </c>
      <c r="Q103" s="2" t="b">
        <v>0</v>
      </c>
      <c r="R103" s="2" t="b">
        <v>0</v>
      </c>
      <c r="S103" s="1" t="s">
        <v>79</v>
      </c>
      <c r="T103" s="5">
        <v>4</v>
      </c>
      <c r="U103" s="5">
        <v>6</v>
      </c>
      <c r="V103" s="5">
        <v>10</v>
      </c>
      <c r="W103" s="1" t="s">
        <v>81</v>
      </c>
      <c r="X103" s="5">
        <v>2</v>
      </c>
      <c r="Y103" s="5">
        <v>3</v>
      </c>
      <c r="Z103" s="5">
        <v>5</v>
      </c>
      <c r="AA103" s="5">
        <v>0</v>
      </c>
      <c r="AB103" s="5">
        <v>0</v>
      </c>
      <c r="AC103" s="5">
        <v>0</v>
      </c>
      <c r="AD103" s="5">
        <v>0</v>
      </c>
      <c r="AE103" s="5">
        <v>1</v>
      </c>
      <c r="AF103" s="5">
        <v>1</v>
      </c>
      <c r="AG103" s="5">
        <v>0</v>
      </c>
      <c r="AH103" s="5">
        <v>1</v>
      </c>
      <c r="AI103" s="5">
        <v>1</v>
      </c>
      <c r="AJ103" s="5">
        <v>6</v>
      </c>
      <c r="AK103" s="1" t="s">
        <v>81</v>
      </c>
      <c r="AL103" s="6">
        <v>20</v>
      </c>
      <c r="AM103" s="6">
        <v>15</v>
      </c>
      <c r="AN103" s="1">
        <v>10</v>
      </c>
      <c r="AO103" s="1">
        <v>4</v>
      </c>
      <c r="AP103" s="1">
        <v>53</v>
      </c>
      <c r="AQ103" s="1">
        <v>47</v>
      </c>
      <c r="AR103" s="1" t="s">
        <v>275</v>
      </c>
      <c r="AS103" s="1" t="s">
        <v>276</v>
      </c>
      <c r="AT103" s="1" t="s">
        <v>248</v>
      </c>
      <c r="AU103" s="1" t="s">
        <v>84</v>
      </c>
      <c r="AV103" s="1" t="s">
        <v>85</v>
      </c>
      <c r="AW103" s="1" t="s">
        <v>251</v>
      </c>
      <c r="AX103" s="1"/>
    </row>
    <row r="104" spans="1:50" ht="15" customHeight="1">
      <c r="A104" s="1">
        <v>2010</v>
      </c>
      <c r="B104" s="1" t="s">
        <v>246</v>
      </c>
      <c r="C104" s="1" t="s">
        <v>323</v>
      </c>
      <c r="D104" s="1" t="s">
        <v>72</v>
      </c>
      <c r="E104" s="1" t="s">
        <v>127</v>
      </c>
      <c r="F104" s="4">
        <v>40352</v>
      </c>
      <c r="G104" s="1" t="s">
        <v>253</v>
      </c>
      <c r="H104" s="1" t="s">
        <v>140</v>
      </c>
      <c r="I104" s="1" t="s">
        <v>274</v>
      </c>
      <c r="J104" s="5">
        <v>2</v>
      </c>
      <c r="K104" s="5">
        <v>1</v>
      </c>
      <c r="L104" s="1" t="s">
        <v>117</v>
      </c>
      <c r="M104" s="1" t="s">
        <v>78</v>
      </c>
      <c r="N104" s="1" t="s">
        <v>140</v>
      </c>
      <c r="O104" s="1" t="s">
        <v>140</v>
      </c>
      <c r="P104" s="1" t="s">
        <v>31</v>
      </c>
      <c r="Q104" s="2" t="b">
        <v>0</v>
      </c>
      <c r="R104" s="2" t="b">
        <v>0</v>
      </c>
      <c r="S104" s="1" t="s">
        <v>79</v>
      </c>
      <c r="T104" s="5">
        <v>5</v>
      </c>
      <c r="U104" s="5">
        <v>6</v>
      </c>
      <c r="V104" s="5">
        <v>11</v>
      </c>
      <c r="W104" s="1" t="s">
        <v>81</v>
      </c>
      <c r="X104" s="5">
        <v>3</v>
      </c>
      <c r="Y104" s="5">
        <v>2</v>
      </c>
      <c r="Z104" s="5">
        <v>5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5</v>
      </c>
      <c r="AK104" s="1" t="s">
        <v>81</v>
      </c>
      <c r="AL104" s="6">
        <v>10</v>
      </c>
      <c r="AM104" s="6">
        <v>16</v>
      </c>
      <c r="AN104" s="1">
        <v>6</v>
      </c>
      <c r="AO104" s="1">
        <v>6</v>
      </c>
      <c r="AP104" s="1">
        <v>43</v>
      </c>
      <c r="AQ104" s="1">
        <v>57</v>
      </c>
      <c r="AR104" s="1" t="s">
        <v>296</v>
      </c>
      <c r="AS104" s="1" t="s">
        <v>297</v>
      </c>
      <c r="AT104" s="1" t="s">
        <v>248</v>
      </c>
      <c r="AU104" s="1" t="s">
        <v>84</v>
      </c>
      <c r="AV104" s="1" t="s">
        <v>85</v>
      </c>
      <c r="AW104" s="1" t="s">
        <v>251</v>
      </c>
      <c r="AX104" s="1"/>
    </row>
    <row r="105" spans="1:50" ht="15" customHeight="1">
      <c r="A105" s="1">
        <v>2010</v>
      </c>
      <c r="B105" s="1" t="s">
        <v>246</v>
      </c>
      <c r="C105" s="1" t="s">
        <v>324</v>
      </c>
      <c r="D105" s="1" t="s">
        <v>72</v>
      </c>
      <c r="E105" s="1" t="s">
        <v>127</v>
      </c>
      <c r="F105" s="4">
        <v>40352</v>
      </c>
      <c r="G105" s="1" t="s">
        <v>253</v>
      </c>
      <c r="H105" s="1" t="s">
        <v>151</v>
      </c>
      <c r="I105" s="1" t="s">
        <v>75</v>
      </c>
      <c r="J105" s="5">
        <v>0</v>
      </c>
      <c r="K105" s="5">
        <v>1</v>
      </c>
      <c r="L105" s="1" t="s">
        <v>123</v>
      </c>
      <c r="M105" s="1" t="s">
        <v>93</v>
      </c>
      <c r="N105" s="1" t="s">
        <v>75</v>
      </c>
      <c r="O105" s="1" t="s">
        <v>75</v>
      </c>
      <c r="P105" s="1" t="s">
        <v>31</v>
      </c>
      <c r="Q105" s="2" t="b">
        <v>0</v>
      </c>
      <c r="R105" s="2" t="b">
        <v>0</v>
      </c>
      <c r="S105" s="1" t="s">
        <v>79</v>
      </c>
      <c r="T105" s="5">
        <v>4</v>
      </c>
      <c r="U105" s="5">
        <v>7</v>
      </c>
      <c r="V105" s="5">
        <v>11</v>
      </c>
      <c r="W105" s="1" t="s">
        <v>81</v>
      </c>
      <c r="X105" s="5">
        <v>1</v>
      </c>
      <c r="Y105" s="5">
        <v>1</v>
      </c>
      <c r="Z105" s="5">
        <v>2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2</v>
      </c>
      <c r="AK105" s="1" t="s">
        <v>81</v>
      </c>
      <c r="AL105" s="6">
        <v>15</v>
      </c>
      <c r="AM105" s="6">
        <v>12</v>
      </c>
      <c r="AN105" s="1">
        <v>5</v>
      </c>
      <c r="AO105" s="1">
        <v>6</v>
      </c>
      <c r="AP105" s="1">
        <v>45</v>
      </c>
      <c r="AQ105" s="1">
        <v>55</v>
      </c>
      <c r="AR105" s="1" t="s">
        <v>249</v>
      </c>
      <c r="AS105" s="1" t="s">
        <v>250</v>
      </c>
      <c r="AT105" s="1" t="s">
        <v>248</v>
      </c>
      <c r="AU105" s="1" t="s">
        <v>84</v>
      </c>
      <c r="AV105" s="1" t="s">
        <v>85</v>
      </c>
      <c r="AW105" s="1" t="s">
        <v>251</v>
      </c>
      <c r="AX105" s="1"/>
    </row>
    <row r="106" spans="1:50" ht="15" customHeight="1">
      <c r="A106" s="1">
        <v>2010</v>
      </c>
      <c r="B106" s="1" t="s">
        <v>246</v>
      </c>
      <c r="C106" s="1" t="s">
        <v>325</v>
      </c>
      <c r="D106" s="1" t="s">
        <v>72</v>
      </c>
      <c r="E106" s="1" t="s">
        <v>139</v>
      </c>
      <c r="F106" s="4">
        <v>40353</v>
      </c>
      <c r="G106" s="1" t="s">
        <v>199</v>
      </c>
      <c r="H106" s="1" t="s">
        <v>100</v>
      </c>
      <c r="I106" s="1" t="s">
        <v>288</v>
      </c>
      <c r="J106" s="5">
        <v>0</v>
      </c>
      <c r="K106" s="5">
        <v>0</v>
      </c>
      <c r="L106" s="1" t="s">
        <v>107</v>
      </c>
      <c r="M106" s="1" t="s">
        <v>108</v>
      </c>
      <c r="N106" s="1" t="s">
        <v>109</v>
      </c>
      <c r="O106" s="1"/>
      <c r="P106" s="1" t="s">
        <v>110</v>
      </c>
      <c r="Q106" s="2" t="b">
        <v>0</v>
      </c>
      <c r="R106" s="2" t="b">
        <v>0</v>
      </c>
      <c r="S106" s="1" t="s">
        <v>79</v>
      </c>
      <c r="T106" s="5">
        <v>2</v>
      </c>
      <c r="U106" s="5">
        <v>0</v>
      </c>
      <c r="V106" s="5">
        <v>2</v>
      </c>
      <c r="W106" s="1" t="s">
        <v>81</v>
      </c>
      <c r="X106" s="5">
        <v>2</v>
      </c>
      <c r="Y106" s="5">
        <v>1</v>
      </c>
      <c r="Z106" s="5">
        <v>3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3</v>
      </c>
      <c r="AK106" s="1" t="s">
        <v>81</v>
      </c>
      <c r="AL106" s="6">
        <v>13</v>
      </c>
      <c r="AM106" s="6">
        <v>3</v>
      </c>
      <c r="AN106" s="1">
        <v>5</v>
      </c>
      <c r="AO106" s="1">
        <v>0</v>
      </c>
      <c r="AP106" s="1">
        <v>61</v>
      </c>
      <c r="AQ106" s="1">
        <v>39</v>
      </c>
      <c r="AR106" s="1" t="s">
        <v>271</v>
      </c>
      <c r="AS106" s="1" t="s">
        <v>272</v>
      </c>
      <c r="AT106" s="1" t="s">
        <v>248</v>
      </c>
      <c r="AU106" s="1" t="s">
        <v>84</v>
      </c>
      <c r="AV106" s="1" t="s">
        <v>85</v>
      </c>
      <c r="AW106" s="1" t="s">
        <v>251</v>
      </c>
      <c r="AX106" s="1"/>
    </row>
    <row r="107" spans="1:50" ht="15" customHeight="1">
      <c r="A107" s="1">
        <v>2010</v>
      </c>
      <c r="B107" s="1" t="s">
        <v>246</v>
      </c>
      <c r="C107" s="1" t="s">
        <v>326</v>
      </c>
      <c r="D107" s="1" t="s">
        <v>72</v>
      </c>
      <c r="E107" s="1" t="s">
        <v>139</v>
      </c>
      <c r="F107" s="4">
        <v>40353</v>
      </c>
      <c r="G107" s="1" t="s">
        <v>199</v>
      </c>
      <c r="H107" s="1" t="s">
        <v>289</v>
      </c>
      <c r="I107" s="1" t="s">
        <v>150</v>
      </c>
      <c r="J107" s="5">
        <v>3</v>
      </c>
      <c r="K107" s="5">
        <v>2</v>
      </c>
      <c r="L107" s="1" t="s">
        <v>207</v>
      </c>
      <c r="M107" s="1" t="s">
        <v>78</v>
      </c>
      <c r="N107" s="1" t="s">
        <v>289</v>
      </c>
      <c r="O107" s="1" t="s">
        <v>289</v>
      </c>
      <c r="P107" s="1" t="s">
        <v>31</v>
      </c>
      <c r="Q107" s="2" t="b">
        <v>0</v>
      </c>
      <c r="R107" s="2" t="b">
        <v>0</v>
      </c>
      <c r="S107" s="1" t="s">
        <v>79</v>
      </c>
      <c r="T107" s="5">
        <v>6</v>
      </c>
      <c r="U107" s="5">
        <v>3</v>
      </c>
      <c r="V107" s="5">
        <v>9</v>
      </c>
      <c r="W107" s="1" t="s">
        <v>81</v>
      </c>
      <c r="X107" s="5">
        <v>4</v>
      </c>
      <c r="Y107" s="5">
        <v>4</v>
      </c>
      <c r="Z107" s="5">
        <v>8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8</v>
      </c>
      <c r="AK107" s="1" t="s">
        <v>81</v>
      </c>
      <c r="AL107" s="6">
        <v>10</v>
      </c>
      <c r="AM107" s="6">
        <v>15</v>
      </c>
      <c r="AN107" s="1">
        <v>4</v>
      </c>
      <c r="AO107" s="1">
        <v>6</v>
      </c>
      <c r="AP107" s="1">
        <v>46</v>
      </c>
      <c r="AQ107" s="1">
        <v>54</v>
      </c>
      <c r="AR107" s="1" t="s">
        <v>264</v>
      </c>
      <c r="AS107" s="1" t="s">
        <v>250</v>
      </c>
      <c r="AT107" s="1" t="s">
        <v>248</v>
      </c>
      <c r="AU107" s="1" t="s">
        <v>84</v>
      </c>
      <c r="AV107" s="1" t="s">
        <v>85</v>
      </c>
      <c r="AW107" s="1" t="s">
        <v>251</v>
      </c>
      <c r="AX107" s="1"/>
    </row>
    <row r="108" spans="1:50" ht="15" customHeight="1">
      <c r="A108" s="1">
        <v>2010</v>
      </c>
      <c r="B108" s="1" t="s">
        <v>246</v>
      </c>
      <c r="C108" s="1" t="s">
        <v>327</v>
      </c>
      <c r="D108" s="1" t="s">
        <v>72</v>
      </c>
      <c r="E108" s="1" t="s">
        <v>145</v>
      </c>
      <c r="F108" s="4">
        <v>40353</v>
      </c>
      <c r="G108" s="1" t="s">
        <v>253</v>
      </c>
      <c r="H108" s="1" t="s">
        <v>283</v>
      </c>
      <c r="I108" s="1" t="s">
        <v>122</v>
      </c>
      <c r="J108" s="5">
        <v>1</v>
      </c>
      <c r="K108" s="5">
        <v>2</v>
      </c>
      <c r="L108" s="1" t="s">
        <v>200</v>
      </c>
      <c r="M108" s="1" t="s">
        <v>93</v>
      </c>
      <c r="N108" s="1" t="s">
        <v>122</v>
      </c>
      <c r="O108" s="1" t="s">
        <v>122</v>
      </c>
      <c r="P108" s="1" t="s">
        <v>31</v>
      </c>
      <c r="Q108" s="2" t="b">
        <v>0</v>
      </c>
      <c r="R108" s="2" t="b">
        <v>0</v>
      </c>
      <c r="S108" s="1" t="s">
        <v>79</v>
      </c>
      <c r="T108" s="5">
        <v>6</v>
      </c>
      <c r="U108" s="5">
        <v>1</v>
      </c>
      <c r="V108" s="5">
        <v>7</v>
      </c>
      <c r="W108" s="1" t="s">
        <v>81</v>
      </c>
      <c r="X108" s="5">
        <v>2</v>
      </c>
      <c r="Y108" s="5">
        <v>3</v>
      </c>
      <c r="Z108" s="5">
        <v>5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5</v>
      </c>
      <c r="AK108" s="1" t="s">
        <v>81</v>
      </c>
      <c r="AL108" s="6">
        <v>11</v>
      </c>
      <c r="AM108" s="6">
        <v>14</v>
      </c>
      <c r="AN108" s="1">
        <v>3</v>
      </c>
      <c r="AO108" s="1">
        <v>8</v>
      </c>
      <c r="AP108" s="1">
        <v>51</v>
      </c>
      <c r="AQ108" s="1">
        <v>49</v>
      </c>
      <c r="AR108" s="1" t="s">
        <v>255</v>
      </c>
      <c r="AS108" s="1" t="s">
        <v>256</v>
      </c>
      <c r="AT108" s="1" t="s">
        <v>248</v>
      </c>
      <c r="AU108" s="1" t="s">
        <v>84</v>
      </c>
      <c r="AV108" s="1" t="s">
        <v>85</v>
      </c>
      <c r="AW108" s="1" t="s">
        <v>251</v>
      </c>
      <c r="AX108" s="1"/>
    </row>
    <row r="109" spans="1:50" ht="15" customHeight="1">
      <c r="A109" s="1">
        <v>2010</v>
      </c>
      <c r="B109" s="1" t="s">
        <v>246</v>
      </c>
      <c r="C109" s="1" t="s">
        <v>328</v>
      </c>
      <c r="D109" s="1" t="s">
        <v>72</v>
      </c>
      <c r="E109" s="1" t="s">
        <v>145</v>
      </c>
      <c r="F109" s="4">
        <v>40353</v>
      </c>
      <c r="G109" s="1" t="s">
        <v>253</v>
      </c>
      <c r="H109" s="1" t="s">
        <v>281</v>
      </c>
      <c r="I109" s="1" t="s">
        <v>141</v>
      </c>
      <c r="J109" s="5">
        <v>1</v>
      </c>
      <c r="K109" s="5">
        <v>3</v>
      </c>
      <c r="L109" s="1" t="s">
        <v>231</v>
      </c>
      <c r="M109" s="1" t="s">
        <v>93</v>
      </c>
      <c r="N109" s="1" t="s">
        <v>141</v>
      </c>
      <c r="O109" s="1" t="s">
        <v>141</v>
      </c>
      <c r="P109" s="1" t="s">
        <v>31</v>
      </c>
      <c r="Q109" s="2" t="b">
        <v>0</v>
      </c>
      <c r="R109" s="2" t="b">
        <v>0</v>
      </c>
      <c r="S109" s="1" t="s">
        <v>79</v>
      </c>
      <c r="T109" s="5">
        <v>7</v>
      </c>
      <c r="U109" s="5">
        <v>2</v>
      </c>
      <c r="V109" s="5">
        <v>9</v>
      </c>
      <c r="W109" s="1" t="s">
        <v>81</v>
      </c>
      <c r="X109" s="5">
        <v>3</v>
      </c>
      <c r="Y109" s="5">
        <v>2</v>
      </c>
      <c r="Z109" s="5">
        <v>5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5</v>
      </c>
      <c r="AK109" s="1" t="s">
        <v>81</v>
      </c>
      <c r="AL109" s="6">
        <v>13</v>
      </c>
      <c r="AM109" s="6">
        <v>14</v>
      </c>
      <c r="AN109" s="1">
        <v>6</v>
      </c>
      <c r="AO109" s="1">
        <v>9</v>
      </c>
      <c r="AP109" s="1">
        <v>55</v>
      </c>
      <c r="AQ109" s="1">
        <v>45</v>
      </c>
      <c r="AR109" s="1" t="s">
        <v>266</v>
      </c>
      <c r="AS109" s="1" t="s">
        <v>267</v>
      </c>
      <c r="AT109" s="1" t="s">
        <v>248</v>
      </c>
      <c r="AU109" s="1" t="s">
        <v>84</v>
      </c>
      <c r="AV109" s="1" t="s">
        <v>85</v>
      </c>
      <c r="AW109" s="1" t="s">
        <v>251</v>
      </c>
      <c r="AX109" s="1"/>
    </row>
    <row r="110" spans="1:50" ht="15" customHeight="1">
      <c r="A110" s="1">
        <v>2010</v>
      </c>
      <c r="B110" s="1" t="s">
        <v>246</v>
      </c>
      <c r="C110" s="1" t="s">
        <v>329</v>
      </c>
      <c r="D110" s="1" t="s">
        <v>72</v>
      </c>
      <c r="E110" s="1" t="s">
        <v>156</v>
      </c>
      <c r="F110" s="4">
        <v>40354</v>
      </c>
      <c r="G110" s="1" t="s">
        <v>199</v>
      </c>
      <c r="H110" s="1" t="s">
        <v>292</v>
      </c>
      <c r="I110" s="1" t="s">
        <v>116</v>
      </c>
      <c r="J110" s="5">
        <v>0</v>
      </c>
      <c r="K110" s="5">
        <v>3</v>
      </c>
      <c r="L110" s="1" t="s">
        <v>148</v>
      </c>
      <c r="M110" s="1" t="s">
        <v>93</v>
      </c>
      <c r="N110" s="1" t="s">
        <v>116</v>
      </c>
      <c r="O110" s="1" t="s">
        <v>116</v>
      </c>
      <c r="P110" s="1" t="s">
        <v>31</v>
      </c>
      <c r="Q110" s="2" t="b">
        <v>0</v>
      </c>
      <c r="R110" s="2" t="b">
        <v>0</v>
      </c>
      <c r="S110" s="1" t="s">
        <v>79</v>
      </c>
      <c r="T110" s="5">
        <v>0</v>
      </c>
      <c r="U110" s="5">
        <v>7</v>
      </c>
      <c r="V110" s="5">
        <v>7</v>
      </c>
      <c r="W110" s="1" t="s">
        <v>81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1" t="s">
        <v>81</v>
      </c>
      <c r="AL110" s="6">
        <v>6</v>
      </c>
      <c r="AM110" s="6">
        <v>25</v>
      </c>
      <c r="AN110" s="1">
        <v>4</v>
      </c>
      <c r="AO110" s="1">
        <v>15</v>
      </c>
      <c r="AP110" s="1">
        <v>37</v>
      </c>
      <c r="AQ110" s="1">
        <v>63</v>
      </c>
      <c r="AR110" s="1" t="s">
        <v>296</v>
      </c>
      <c r="AS110" s="1" t="s">
        <v>297</v>
      </c>
      <c r="AT110" s="1" t="s">
        <v>248</v>
      </c>
      <c r="AU110" s="1" t="s">
        <v>84</v>
      </c>
      <c r="AV110" s="1" t="s">
        <v>85</v>
      </c>
      <c r="AW110" s="1" t="s">
        <v>251</v>
      </c>
      <c r="AX110" s="1"/>
    </row>
    <row r="111" spans="1:50" ht="15" customHeight="1">
      <c r="A111" s="1">
        <v>2010</v>
      </c>
      <c r="B111" s="1" t="s">
        <v>246</v>
      </c>
      <c r="C111" s="1" t="s">
        <v>330</v>
      </c>
      <c r="D111" s="1" t="s">
        <v>72</v>
      </c>
      <c r="E111" s="1" t="s">
        <v>156</v>
      </c>
      <c r="F111" s="4">
        <v>40354</v>
      </c>
      <c r="G111" s="1" t="s">
        <v>199</v>
      </c>
      <c r="H111" s="1" t="s">
        <v>135</v>
      </c>
      <c r="I111" s="1" t="s">
        <v>165</v>
      </c>
      <c r="J111" s="5">
        <v>0</v>
      </c>
      <c r="K111" s="5">
        <v>0</v>
      </c>
      <c r="L111" s="1" t="s">
        <v>107</v>
      </c>
      <c r="M111" s="1" t="s">
        <v>108</v>
      </c>
      <c r="N111" s="1" t="s">
        <v>109</v>
      </c>
      <c r="O111" s="1"/>
      <c r="P111" s="1" t="s">
        <v>110</v>
      </c>
      <c r="Q111" s="2" t="b">
        <v>0</v>
      </c>
      <c r="R111" s="2" t="b">
        <v>0</v>
      </c>
      <c r="S111" s="1" t="s">
        <v>79</v>
      </c>
      <c r="T111" s="5">
        <v>4</v>
      </c>
      <c r="U111" s="5">
        <v>7</v>
      </c>
      <c r="V111" s="5">
        <v>11</v>
      </c>
      <c r="W111" s="1" t="s">
        <v>81</v>
      </c>
      <c r="X111" s="5">
        <v>4</v>
      </c>
      <c r="Y111" s="5">
        <v>3</v>
      </c>
      <c r="Z111" s="5">
        <v>7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7</v>
      </c>
      <c r="AK111" s="1" t="s">
        <v>81</v>
      </c>
      <c r="AL111" s="6">
        <v>12</v>
      </c>
      <c r="AM111" s="6">
        <v>16</v>
      </c>
      <c r="AN111" s="1">
        <v>3</v>
      </c>
      <c r="AO111" s="1">
        <v>5</v>
      </c>
      <c r="AP111" s="1">
        <v>36</v>
      </c>
      <c r="AQ111" s="1">
        <v>64</v>
      </c>
      <c r="AR111" s="1" t="s">
        <v>278</v>
      </c>
      <c r="AS111" s="1" t="s">
        <v>279</v>
      </c>
      <c r="AT111" s="1" t="s">
        <v>248</v>
      </c>
      <c r="AU111" s="1" t="s">
        <v>84</v>
      </c>
      <c r="AV111" s="1" t="s">
        <v>85</v>
      </c>
      <c r="AW111" s="1" t="s">
        <v>251</v>
      </c>
      <c r="AX111" s="1"/>
    </row>
    <row r="112" spans="1:50" ht="15" customHeight="1">
      <c r="A112" s="1">
        <v>2010</v>
      </c>
      <c r="B112" s="1" t="s">
        <v>246</v>
      </c>
      <c r="C112" s="1" t="s">
        <v>331</v>
      </c>
      <c r="D112" s="1" t="s">
        <v>72</v>
      </c>
      <c r="E112" s="1" t="s">
        <v>170</v>
      </c>
      <c r="F112" s="4">
        <v>40354</v>
      </c>
      <c r="G112" s="1" t="s">
        <v>253</v>
      </c>
      <c r="H112" s="1" t="s">
        <v>295</v>
      </c>
      <c r="I112" s="1" t="s">
        <v>171</v>
      </c>
      <c r="J112" s="5">
        <v>1</v>
      </c>
      <c r="K112" s="5">
        <v>2</v>
      </c>
      <c r="L112" s="1" t="s">
        <v>200</v>
      </c>
      <c r="M112" s="1" t="s">
        <v>93</v>
      </c>
      <c r="N112" s="1" t="s">
        <v>171</v>
      </c>
      <c r="O112" s="1" t="s">
        <v>171</v>
      </c>
      <c r="P112" s="1" t="s">
        <v>31</v>
      </c>
      <c r="Q112" s="2" t="b">
        <v>0</v>
      </c>
      <c r="R112" s="2" t="b">
        <v>0</v>
      </c>
      <c r="S112" s="1" t="s">
        <v>79</v>
      </c>
      <c r="T112" s="5">
        <v>3</v>
      </c>
      <c r="U112" s="5">
        <v>4</v>
      </c>
      <c r="V112" s="5">
        <v>7</v>
      </c>
      <c r="W112" s="1" t="s">
        <v>81</v>
      </c>
      <c r="X112" s="5">
        <v>3</v>
      </c>
      <c r="Y112" s="5">
        <v>0</v>
      </c>
      <c r="Z112" s="5">
        <v>3</v>
      </c>
      <c r="AA112" s="5">
        <v>0</v>
      </c>
      <c r="AB112" s="5">
        <v>0</v>
      </c>
      <c r="AC112" s="5">
        <v>0</v>
      </c>
      <c r="AD112" s="5">
        <v>1</v>
      </c>
      <c r="AE112" s="5">
        <v>0</v>
      </c>
      <c r="AF112" s="5">
        <v>1</v>
      </c>
      <c r="AG112" s="5">
        <v>1</v>
      </c>
      <c r="AH112" s="5">
        <v>0</v>
      </c>
      <c r="AI112" s="5">
        <v>1</v>
      </c>
      <c r="AJ112" s="5">
        <v>4</v>
      </c>
      <c r="AK112" s="1" t="s">
        <v>81</v>
      </c>
      <c r="AL112" s="6">
        <v>8</v>
      </c>
      <c r="AM112" s="6">
        <v>8</v>
      </c>
      <c r="AN112" s="1">
        <v>4</v>
      </c>
      <c r="AO112" s="1">
        <v>3</v>
      </c>
      <c r="AP112" s="1">
        <v>38</v>
      </c>
      <c r="AQ112" s="1">
        <v>62</v>
      </c>
      <c r="AR112" s="1" t="s">
        <v>275</v>
      </c>
      <c r="AS112" s="1" t="s">
        <v>276</v>
      </c>
      <c r="AT112" s="1" t="s">
        <v>248</v>
      </c>
      <c r="AU112" s="1" t="s">
        <v>84</v>
      </c>
      <c r="AV112" s="1" t="s">
        <v>85</v>
      </c>
      <c r="AW112" s="1" t="s">
        <v>251</v>
      </c>
      <c r="AX112" s="1"/>
    </row>
    <row r="113" spans="1:50" ht="15" customHeight="1">
      <c r="A113" s="1">
        <v>2010</v>
      </c>
      <c r="B113" s="1" t="s">
        <v>246</v>
      </c>
      <c r="C113" s="1" t="s">
        <v>332</v>
      </c>
      <c r="D113" s="1" t="s">
        <v>72</v>
      </c>
      <c r="E113" s="1" t="s">
        <v>170</v>
      </c>
      <c r="F113" s="4">
        <v>40354</v>
      </c>
      <c r="G113" s="1" t="s">
        <v>253</v>
      </c>
      <c r="H113" s="1" t="s">
        <v>161</v>
      </c>
      <c r="I113" s="1" t="s">
        <v>294</v>
      </c>
      <c r="J113" s="5">
        <v>0</v>
      </c>
      <c r="K113" s="5">
        <v>0</v>
      </c>
      <c r="L113" s="1" t="s">
        <v>107</v>
      </c>
      <c r="M113" s="1" t="s">
        <v>108</v>
      </c>
      <c r="N113" s="1" t="s">
        <v>109</v>
      </c>
      <c r="O113" s="1"/>
      <c r="P113" s="1" t="s">
        <v>110</v>
      </c>
      <c r="Q113" s="2" t="b">
        <v>0</v>
      </c>
      <c r="R113" s="2" t="b">
        <v>0</v>
      </c>
      <c r="S113" s="1" t="s">
        <v>79</v>
      </c>
      <c r="T113" s="5">
        <v>2</v>
      </c>
      <c r="U113" s="5">
        <v>0</v>
      </c>
      <c r="V113" s="5">
        <v>2</v>
      </c>
      <c r="W113" s="1" t="s">
        <v>81</v>
      </c>
      <c r="X113" s="5">
        <v>1</v>
      </c>
      <c r="Y113" s="5">
        <v>4</v>
      </c>
      <c r="Z113" s="5">
        <v>5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5</v>
      </c>
      <c r="AK113" s="1" t="s">
        <v>81</v>
      </c>
      <c r="AL113" s="6">
        <v>4</v>
      </c>
      <c r="AM113" s="6">
        <v>0</v>
      </c>
      <c r="AN113" s="1">
        <v>1</v>
      </c>
      <c r="AO113" s="1">
        <v>0</v>
      </c>
      <c r="AP113" s="1">
        <v>53</v>
      </c>
      <c r="AQ113" s="1">
        <v>47</v>
      </c>
      <c r="AR113" s="1" t="s">
        <v>284</v>
      </c>
      <c r="AS113" s="1" t="s">
        <v>285</v>
      </c>
      <c r="AT113" s="1" t="s">
        <v>248</v>
      </c>
      <c r="AU113" s="1" t="s">
        <v>84</v>
      </c>
      <c r="AV113" s="1" t="s">
        <v>85</v>
      </c>
      <c r="AW113" s="1" t="s">
        <v>251</v>
      </c>
      <c r="AX113" s="1"/>
    </row>
    <row r="114" spans="1:50" ht="15" customHeight="1">
      <c r="A114" s="1">
        <v>2010</v>
      </c>
      <c r="B114" s="1" t="s">
        <v>246</v>
      </c>
      <c r="C114" s="1" t="s">
        <v>333</v>
      </c>
      <c r="D114" s="1" t="s">
        <v>219</v>
      </c>
      <c r="E114" s="1" t="s">
        <v>220</v>
      </c>
      <c r="F114" s="4">
        <v>40355</v>
      </c>
      <c r="G114" s="1" t="s">
        <v>199</v>
      </c>
      <c r="H114" s="1" t="s">
        <v>254</v>
      </c>
      <c r="I114" s="1" t="s">
        <v>157</v>
      </c>
      <c r="J114" s="5">
        <v>2</v>
      </c>
      <c r="K114" s="5">
        <v>1</v>
      </c>
      <c r="L114" s="1" t="s">
        <v>117</v>
      </c>
      <c r="M114" s="1" t="s">
        <v>78</v>
      </c>
      <c r="N114" s="1" t="s">
        <v>254</v>
      </c>
      <c r="O114" s="1" t="s">
        <v>254</v>
      </c>
      <c r="P114" s="1" t="s">
        <v>31</v>
      </c>
      <c r="Q114" s="2" t="b">
        <v>0</v>
      </c>
      <c r="R114" s="2" t="b">
        <v>0</v>
      </c>
      <c r="S114" s="1" t="s">
        <v>79</v>
      </c>
      <c r="T114" s="5">
        <v>3</v>
      </c>
      <c r="U114" s="5">
        <v>3</v>
      </c>
      <c r="V114" s="5">
        <v>6</v>
      </c>
      <c r="W114" s="1" t="s">
        <v>81</v>
      </c>
      <c r="X114" s="5">
        <v>0</v>
      </c>
      <c r="Y114" s="5">
        <v>3</v>
      </c>
      <c r="Z114" s="5">
        <v>3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3</v>
      </c>
      <c r="AK114" s="1" t="s">
        <v>81</v>
      </c>
      <c r="AL114" s="6">
        <v>12</v>
      </c>
      <c r="AM114" s="6">
        <v>13</v>
      </c>
      <c r="AN114" s="1">
        <v>8</v>
      </c>
      <c r="AO114" s="1">
        <v>5</v>
      </c>
      <c r="AP114" s="1">
        <v>42</v>
      </c>
      <c r="AQ114" s="1">
        <v>58</v>
      </c>
      <c r="AR114" s="1" t="s">
        <v>260</v>
      </c>
      <c r="AS114" s="1" t="s">
        <v>261</v>
      </c>
      <c r="AT114" s="1" t="s">
        <v>248</v>
      </c>
      <c r="AU114" s="1" t="s">
        <v>84</v>
      </c>
      <c r="AV114" s="1" t="s">
        <v>85</v>
      </c>
      <c r="AW114" s="1" t="s">
        <v>251</v>
      </c>
      <c r="AX114" s="1"/>
    </row>
    <row r="115" spans="1:50" ht="15" customHeight="1">
      <c r="A115" s="1">
        <v>2010</v>
      </c>
      <c r="B115" s="1" t="s">
        <v>246</v>
      </c>
      <c r="C115" s="1" t="s">
        <v>334</v>
      </c>
      <c r="D115" s="1" t="s">
        <v>219</v>
      </c>
      <c r="E115" s="1" t="s">
        <v>220</v>
      </c>
      <c r="F115" s="4">
        <v>40355</v>
      </c>
      <c r="G115" s="1" t="s">
        <v>253</v>
      </c>
      <c r="H115" s="1" t="s">
        <v>146</v>
      </c>
      <c r="I115" s="1" t="s">
        <v>151</v>
      </c>
      <c r="J115" s="5">
        <v>1</v>
      </c>
      <c r="K115" s="5">
        <v>2</v>
      </c>
      <c r="L115" s="1" t="s">
        <v>200</v>
      </c>
      <c r="M115" s="1" t="s">
        <v>93</v>
      </c>
      <c r="N115" s="1" t="s">
        <v>151</v>
      </c>
      <c r="O115" s="1" t="s">
        <v>151</v>
      </c>
      <c r="P115" s="1" t="s">
        <v>223</v>
      </c>
      <c r="Q115" s="2" t="b">
        <v>1</v>
      </c>
      <c r="R115" s="2" t="b">
        <v>0</v>
      </c>
      <c r="S115" s="1" t="s">
        <v>79</v>
      </c>
      <c r="T115" s="5">
        <v>5</v>
      </c>
      <c r="U115" s="5">
        <v>4</v>
      </c>
      <c r="V115" s="5">
        <v>9</v>
      </c>
      <c r="W115" s="1" t="s">
        <v>81</v>
      </c>
      <c r="X115" s="5">
        <v>3</v>
      </c>
      <c r="Y115" s="5">
        <v>2</v>
      </c>
      <c r="Z115" s="5">
        <v>5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5</v>
      </c>
      <c r="AK115" s="1" t="s">
        <v>81</v>
      </c>
      <c r="AL115" s="6">
        <v>16</v>
      </c>
      <c r="AM115" s="6">
        <v>13</v>
      </c>
      <c r="AN115" s="1">
        <v>6</v>
      </c>
      <c r="AO115" s="1">
        <v>6</v>
      </c>
      <c r="AP115" s="1">
        <v>47</v>
      </c>
      <c r="AQ115" s="1">
        <v>53</v>
      </c>
      <c r="AR115" s="1" t="s">
        <v>266</v>
      </c>
      <c r="AS115" s="1" t="s">
        <v>267</v>
      </c>
      <c r="AT115" s="1" t="s">
        <v>248</v>
      </c>
      <c r="AU115" s="1" t="s">
        <v>84</v>
      </c>
      <c r="AV115" s="1" t="s">
        <v>85</v>
      </c>
      <c r="AW115" s="1" t="s">
        <v>251</v>
      </c>
      <c r="AX115" s="1"/>
    </row>
    <row r="116" spans="1:50" ht="15" customHeight="1">
      <c r="A116" s="1">
        <v>2010</v>
      </c>
      <c r="B116" s="1" t="s">
        <v>246</v>
      </c>
      <c r="C116" s="1" t="s">
        <v>335</v>
      </c>
      <c r="D116" s="1" t="s">
        <v>219</v>
      </c>
      <c r="E116" s="1" t="s">
        <v>220</v>
      </c>
      <c r="F116" s="4">
        <v>40356</v>
      </c>
      <c r="G116" s="1" t="s">
        <v>199</v>
      </c>
      <c r="H116" s="1" t="s">
        <v>75</v>
      </c>
      <c r="I116" s="1" t="s">
        <v>99</v>
      </c>
      <c r="J116" s="5">
        <v>4</v>
      </c>
      <c r="K116" s="5">
        <v>1</v>
      </c>
      <c r="L116" s="1" t="s">
        <v>301</v>
      </c>
      <c r="M116" s="1" t="s">
        <v>78</v>
      </c>
      <c r="N116" s="1" t="s">
        <v>75</v>
      </c>
      <c r="O116" s="1" t="s">
        <v>75</v>
      </c>
      <c r="P116" s="1" t="s">
        <v>31</v>
      </c>
      <c r="Q116" s="2" t="b">
        <v>0</v>
      </c>
      <c r="R116" s="2" t="b">
        <v>0</v>
      </c>
      <c r="S116" s="1" t="s">
        <v>79</v>
      </c>
      <c r="T116" s="5">
        <v>4</v>
      </c>
      <c r="U116" s="5">
        <v>6</v>
      </c>
      <c r="V116" s="5">
        <v>10</v>
      </c>
      <c r="W116" s="1" t="s">
        <v>81</v>
      </c>
      <c r="X116" s="5">
        <v>1</v>
      </c>
      <c r="Y116" s="5">
        <v>1</v>
      </c>
      <c r="Z116" s="5">
        <v>2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2</v>
      </c>
      <c r="AK116" s="1" t="s">
        <v>81</v>
      </c>
      <c r="AL116" s="6">
        <v>14</v>
      </c>
      <c r="AM116" s="6">
        <v>16</v>
      </c>
      <c r="AN116" s="1">
        <v>7</v>
      </c>
      <c r="AO116" s="1">
        <v>9</v>
      </c>
      <c r="AP116" s="1">
        <v>50</v>
      </c>
      <c r="AQ116" s="1">
        <v>50</v>
      </c>
      <c r="AR116" s="1" t="s">
        <v>284</v>
      </c>
      <c r="AS116" s="1" t="s">
        <v>285</v>
      </c>
      <c r="AT116" s="1" t="s">
        <v>248</v>
      </c>
      <c r="AU116" s="1" t="s">
        <v>84</v>
      </c>
      <c r="AV116" s="1" t="s">
        <v>85</v>
      </c>
      <c r="AW116" s="1" t="s">
        <v>251</v>
      </c>
      <c r="AX116" s="1"/>
    </row>
    <row r="117" spans="1:50" ht="15" customHeight="1">
      <c r="A117" s="1">
        <v>2010</v>
      </c>
      <c r="B117" s="1" t="s">
        <v>246</v>
      </c>
      <c r="C117" s="1" t="s">
        <v>336</v>
      </c>
      <c r="D117" s="1" t="s">
        <v>219</v>
      </c>
      <c r="E117" s="1" t="s">
        <v>220</v>
      </c>
      <c r="F117" s="4">
        <v>40356</v>
      </c>
      <c r="G117" s="1" t="s">
        <v>253</v>
      </c>
      <c r="H117" s="1" t="s">
        <v>115</v>
      </c>
      <c r="I117" s="1" t="s">
        <v>128</v>
      </c>
      <c r="J117" s="5">
        <v>3</v>
      </c>
      <c r="K117" s="5">
        <v>1</v>
      </c>
      <c r="L117" s="1" t="s">
        <v>130</v>
      </c>
      <c r="M117" s="1" t="s">
        <v>78</v>
      </c>
      <c r="N117" s="1" t="s">
        <v>115</v>
      </c>
      <c r="O117" s="1" t="s">
        <v>115</v>
      </c>
      <c r="P117" s="1" t="s">
        <v>31</v>
      </c>
      <c r="Q117" s="2" t="b">
        <v>0</v>
      </c>
      <c r="R117" s="2" t="b">
        <v>0</v>
      </c>
      <c r="S117" s="1" t="s">
        <v>79</v>
      </c>
      <c r="T117" s="5">
        <v>2</v>
      </c>
      <c r="U117" s="5">
        <v>5</v>
      </c>
      <c r="V117" s="5">
        <v>7</v>
      </c>
      <c r="W117" s="1" t="s">
        <v>81</v>
      </c>
      <c r="X117" s="5">
        <v>0</v>
      </c>
      <c r="Y117" s="5">
        <v>1</v>
      </c>
      <c r="Z117" s="5">
        <v>1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1</v>
      </c>
      <c r="AK117" s="1" t="s">
        <v>81</v>
      </c>
      <c r="AL117" s="6">
        <v>9</v>
      </c>
      <c r="AM117" s="6">
        <v>16</v>
      </c>
      <c r="AN117" s="1">
        <v>6</v>
      </c>
      <c r="AO117" s="1">
        <v>6</v>
      </c>
      <c r="AP117" s="1">
        <v>49</v>
      </c>
      <c r="AQ117" s="1">
        <v>51</v>
      </c>
      <c r="AR117" s="1" t="s">
        <v>249</v>
      </c>
      <c r="AS117" s="1" t="s">
        <v>250</v>
      </c>
      <c r="AT117" s="1" t="s">
        <v>248</v>
      </c>
      <c r="AU117" s="1" t="s">
        <v>84</v>
      </c>
      <c r="AV117" s="1" t="s">
        <v>85</v>
      </c>
      <c r="AW117" s="1" t="s">
        <v>251</v>
      </c>
      <c r="AX117" s="1"/>
    </row>
    <row r="118" spans="1:50" ht="15" customHeight="1">
      <c r="A118" s="1">
        <v>2010</v>
      </c>
      <c r="B118" s="1" t="s">
        <v>246</v>
      </c>
      <c r="C118" s="1" t="s">
        <v>337</v>
      </c>
      <c r="D118" s="1" t="s">
        <v>219</v>
      </c>
      <c r="E118" s="1" t="s">
        <v>220</v>
      </c>
      <c r="F118" s="4">
        <v>40357</v>
      </c>
      <c r="G118" s="1" t="s">
        <v>199</v>
      </c>
      <c r="H118" s="1" t="s">
        <v>122</v>
      </c>
      <c r="I118" s="1" t="s">
        <v>289</v>
      </c>
      <c r="J118" s="5">
        <v>2</v>
      </c>
      <c r="K118" s="5">
        <v>1</v>
      </c>
      <c r="L118" s="1" t="s">
        <v>117</v>
      </c>
      <c r="M118" s="1" t="s">
        <v>78</v>
      </c>
      <c r="N118" s="1" t="s">
        <v>122</v>
      </c>
      <c r="O118" s="1" t="s">
        <v>122</v>
      </c>
      <c r="P118" s="1" t="s">
        <v>31</v>
      </c>
      <c r="Q118" s="2" t="b">
        <v>0</v>
      </c>
      <c r="R118" s="2" t="b">
        <v>0</v>
      </c>
      <c r="S118" s="1" t="s">
        <v>79</v>
      </c>
      <c r="T118" s="5">
        <v>5</v>
      </c>
      <c r="U118" s="5">
        <v>2</v>
      </c>
      <c r="V118" s="5">
        <v>7</v>
      </c>
      <c r="W118" s="1" t="s">
        <v>81</v>
      </c>
      <c r="X118" s="5">
        <v>2</v>
      </c>
      <c r="Y118" s="5">
        <v>3</v>
      </c>
      <c r="Z118" s="5">
        <v>5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5</v>
      </c>
      <c r="AK118" s="1" t="s">
        <v>81</v>
      </c>
      <c r="AL118" s="6">
        <v>14</v>
      </c>
      <c r="AM118" s="6">
        <v>9</v>
      </c>
      <c r="AN118" s="1">
        <v>9</v>
      </c>
      <c r="AO118" s="1">
        <v>3</v>
      </c>
      <c r="AP118" s="1">
        <v>57</v>
      </c>
      <c r="AQ118" s="1">
        <v>43</v>
      </c>
      <c r="AR118" s="1" t="s">
        <v>278</v>
      </c>
      <c r="AS118" s="1" t="s">
        <v>279</v>
      </c>
      <c r="AT118" s="1" t="s">
        <v>248</v>
      </c>
      <c r="AU118" s="1" t="s">
        <v>84</v>
      </c>
      <c r="AV118" s="1" t="s">
        <v>85</v>
      </c>
      <c r="AW118" s="1" t="s">
        <v>251</v>
      </c>
      <c r="AX118" s="1"/>
    </row>
    <row r="119" spans="1:50" ht="15" customHeight="1">
      <c r="A119" s="1">
        <v>2010</v>
      </c>
      <c r="B119" s="1" t="s">
        <v>246</v>
      </c>
      <c r="C119" s="1" t="s">
        <v>338</v>
      </c>
      <c r="D119" s="1" t="s">
        <v>219</v>
      </c>
      <c r="E119" s="1" t="s">
        <v>220</v>
      </c>
      <c r="F119" s="4">
        <v>40357</v>
      </c>
      <c r="G119" s="1" t="s">
        <v>253</v>
      </c>
      <c r="H119" s="1" t="s">
        <v>165</v>
      </c>
      <c r="I119" s="1" t="s">
        <v>295</v>
      </c>
      <c r="J119" s="5">
        <v>3</v>
      </c>
      <c r="K119" s="5">
        <v>0</v>
      </c>
      <c r="L119" s="1" t="s">
        <v>180</v>
      </c>
      <c r="M119" s="1" t="s">
        <v>78</v>
      </c>
      <c r="N119" s="1" t="s">
        <v>165</v>
      </c>
      <c r="O119" s="1" t="s">
        <v>165</v>
      </c>
      <c r="P119" s="1" t="s">
        <v>31</v>
      </c>
      <c r="Q119" s="2" t="b">
        <v>0</v>
      </c>
      <c r="R119" s="2" t="b">
        <v>0</v>
      </c>
      <c r="S119" s="1" t="s">
        <v>79</v>
      </c>
      <c r="T119" s="5">
        <v>8</v>
      </c>
      <c r="U119" s="5">
        <v>6</v>
      </c>
      <c r="V119" s="5">
        <v>14</v>
      </c>
      <c r="W119" s="1" t="s">
        <v>81</v>
      </c>
      <c r="X119" s="5">
        <v>2</v>
      </c>
      <c r="Y119" s="5">
        <v>3</v>
      </c>
      <c r="Z119" s="5">
        <v>5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5</v>
      </c>
      <c r="AK119" s="1" t="s">
        <v>81</v>
      </c>
      <c r="AL119" s="6">
        <v>17</v>
      </c>
      <c r="AM119" s="6">
        <v>10</v>
      </c>
      <c r="AN119" s="1">
        <v>6</v>
      </c>
      <c r="AO119" s="1">
        <v>3</v>
      </c>
      <c r="AP119" s="1">
        <v>49</v>
      </c>
      <c r="AQ119" s="1">
        <v>51</v>
      </c>
      <c r="AR119" s="1" t="s">
        <v>264</v>
      </c>
      <c r="AS119" s="1" t="s">
        <v>250</v>
      </c>
      <c r="AT119" s="1" t="s">
        <v>248</v>
      </c>
      <c r="AU119" s="1" t="s">
        <v>84</v>
      </c>
      <c r="AV119" s="1" t="s">
        <v>85</v>
      </c>
      <c r="AW119" s="1" t="s">
        <v>251</v>
      </c>
      <c r="AX119" s="1"/>
    </row>
    <row r="120" spans="1:50" ht="15" customHeight="1">
      <c r="A120" s="1">
        <v>2010</v>
      </c>
      <c r="B120" s="1" t="s">
        <v>246</v>
      </c>
      <c r="C120" s="1" t="s">
        <v>339</v>
      </c>
      <c r="D120" s="1" t="s">
        <v>219</v>
      </c>
      <c r="E120" s="1" t="s">
        <v>220</v>
      </c>
      <c r="F120" s="4">
        <v>40358</v>
      </c>
      <c r="G120" s="1" t="s">
        <v>199</v>
      </c>
      <c r="H120" s="1" t="s">
        <v>100</v>
      </c>
      <c r="I120" s="1" t="s">
        <v>141</v>
      </c>
      <c r="J120" s="5">
        <v>0</v>
      </c>
      <c r="K120" s="5">
        <v>0</v>
      </c>
      <c r="L120" s="1" t="s">
        <v>107</v>
      </c>
      <c r="M120" s="1" t="s">
        <v>108</v>
      </c>
      <c r="N120" s="1" t="s">
        <v>100</v>
      </c>
      <c r="O120" s="1" t="s">
        <v>100</v>
      </c>
      <c r="P120" s="1" t="s">
        <v>228</v>
      </c>
      <c r="Q120" s="2" t="b">
        <v>1</v>
      </c>
      <c r="R120" s="2" t="b">
        <v>1</v>
      </c>
      <c r="S120" s="1" t="s">
        <v>245</v>
      </c>
      <c r="T120" s="5">
        <v>6</v>
      </c>
      <c r="U120" s="5">
        <v>5</v>
      </c>
      <c r="V120" s="5">
        <v>11</v>
      </c>
      <c r="W120" s="1" t="s">
        <v>81</v>
      </c>
      <c r="X120" s="5">
        <v>1</v>
      </c>
      <c r="Y120" s="5">
        <v>4</v>
      </c>
      <c r="Z120" s="5">
        <v>5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5</v>
      </c>
      <c r="AK120" s="1" t="s">
        <v>81</v>
      </c>
      <c r="AL120" s="6">
        <v>9</v>
      </c>
      <c r="AM120" s="6">
        <v>10</v>
      </c>
      <c r="AN120" s="1">
        <v>5</v>
      </c>
      <c r="AO120" s="1">
        <v>5</v>
      </c>
      <c r="AP120" s="1">
        <v>60</v>
      </c>
      <c r="AQ120" s="1">
        <v>40</v>
      </c>
      <c r="AR120" s="1" t="s">
        <v>275</v>
      </c>
      <c r="AS120" s="1" t="s">
        <v>276</v>
      </c>
      <c r="AT120" s="1" t="s">
        <v>248</v>
      </c>
      <c r="AU120" s="1" t="s">
        <v>84</v>
      </c>
      <c r="AV120" s="1" t="s">
        <v>85</v>
      </c>
      <c r="AW120" s="1" t="s">
        <v>251</v>
      </c>
      <c r="AX120" s="1"/>
    </row>
    <row r="121" spans="1:50" ht="15" customHeight="1">
      <c r="A121" s="1">
        <v>2010</v>
      </c>
      <c r="B121" s="1" t="s">
        <v>246</v>
      </c>
      <c r="C121" s="1" t="s">
        <v>340</v>
      </c>
      <c r="D121" s="1" t="s">
        <v>219</v>
      </c>
      <c r="E121" s="1" t="s">
        <v>220</v>
      </c>
      <c r="F121" s="4">
        <v>40358</v>
      </c>
      <c r="G121" s="1" t="s">
        <v>253</v>
      </c>
      <c r="H121" s="1" t="s">
        <v>171</v>
      </c>
      <c r="I121" s="1" t="s">
        <v>135</v>
      </c>
      <c r="J121" s="5">
        <v>1</v>
      </c>
      <c r="K121" s="5">
        <v>0</v>
      </c>
      <c r="L121" s="1" t="s">
        <v>101</v>
      </c>
      <c r="M121" s="1" t="s">
        <v>78</v>
      </c>
      <c r="N121" s="1" t="s">
        <v>171</v>
      </c>
      <c r="O121" s="1" t="s">
        <v>171</v>
      </c>
      <c r="P121" s="1" t="s">
        <v>31</v>
      </c>
      <c r="Q121" s="2" t="b">
        <v>0</v>
      </c>
      <c r="R121" s="2" t="b">
        <v>0</v>
      </c>
      <c r="S121" s="1" t="s">
        <v>79</v>
      </c>
      <c r="T121" s="5">
        <v>6</v>
      </c>
      <c r="U121" s="5">
        <v>3</v>
      </c>
      <c r="V121" s="5">
        <v>9</v>
      </c>
      <c r="W121" s="1" t="s">
        <v>81</v>
      </c>
      <c r="X121" s="5">
        <v>1</v>
      </c>
      <c r="Y121" s="5">
        <v>1</v>
      </c>
      <c r="Z121" s="5">
        <v>2</v>
      </c>
      <c r="AA121" s="5">
        <v>0</v>
      </c>
      <c r="AB121" s="5">
        <v>1</v>
      </c>
      <c r="AC121" s="5">
        <v>1</v>
      </c>
      <c r="AD121" s="5">
        <v>0</v>
      </c>
      <c r="AE121" s="5">
        <v>0</v>
      </c>
      <c r="AF121" s="5">
        <v>0</v>
      </c>
      <c r="AG121" s="5">
        <v>0</v>
      </c>
      <c r="AH121" s="5">
        <v>1</v>
      </c>
      <c r="AI121" s="5">
        <v>1</v>
      </c>
      <c r="AJ121" s="5">
        <v>3</v>
      </c>
      <c r="AK121" s="1" t="s">
        <v>81</v>
      </c>
      <c r="AL121" s="6">
        <v>18</v>
      </c>
      <c r="AM121" s="6">
        <v>9</v>
      </c>
      <c r="AN121" s="1">
        <v>10</v>
      </c>
      <c r="AO121" s="1">
        <v>3</v>
      </c>
      <c r="AP121" s="1">
        <v>65</v>
      </c>
      <c r="AQ121" s="1">
        <v>35</v>
      </c>
      <c r="AR121" s="1" t="s">
        <v>255</v>
      </c>
      <c r="AS121" s="1" t="s">
        <v>256</v>
      </c>
      <c r="AT121" s="1" t="s">
        <v>248</v>
      </c>
      <c r="AU121" s="1" t="s">
        <v>84</v>
      </c>
      <c r="AV121" s="1" t="s">
        <v>85</v>
      </c>
      <c r="AW121" s="1" t="s">
        <v>251</v>
      </c>
      <c r="AX121" s="1"/>
    </row>
    <row r="122" spans="1:50" ht="15" customHeight="1">
      <c r="A122" s="1">
        <v>2010</v>
      </c>
      <c r="B122" s="1" t="s">
        <v>246</v>
      </c>
      <c r="C122" s="1" t="s">
        <v>341</v>
      </c>
      <c r="D122" s="1" t="s">
        <v>233</v>
      </c>
      <c r="E122" s="1" t="s">
        <v>220</v>
      </c>
      <c r="F122" s="4">
        <v>40361</v>
      </c>
      <c r="G122" s="1" t="s">
        <v>199</v>
      </c>
      <c r="H122" s="1" t="s">
        <v>122</v>
      </c>
      <c r="I122" s="1" t="s">
        <v>165</v>
      </c>
      <c r="J122" s="5">
        <v>2</v>
      </c>
      <c r="K122" s="5">
        <v>1</v>
      </c>
      <c r="L122" s="1" t="s">
        <v>117</v>
      </c>
      <c r="M122" s="1" t="s">
        <v>78</v>
      </c>
      <c r="N122" s="1" t="s">
        <v>122</v>
      </c>
      <c r="O122" s="1" t="s">
        <v>122</v>
      </c>
      <c r="P122" s="1" t="s">
        <v>31</v>
      </c>
      <c r="Q122" s="2" t="b">
        <v>0</v>
      </c>
      <c r="R122" s="2" t="b">
        <v>0</v>
      </c>
      <c r="S122" s="1" t="s">
        <v>79</v>
      </c>
      <c r="T122" s="5">
        <v>4</v>
      </c>
      <c r="U122" s="5">
        <v>8</v>
      </c>
      <c r="V122" s="5">
        <v>12</v>
      </c>
      <c r="W122" s="1" t="s">
        <v>81</v>
      </c>
      <c r="X122" s="5">
        <v>4</v>
      </c>
      <c r="Y122" s="5">
        <v>1</v>
      </c>
      <c r="Z122" s="5">
        <v>5</v>
      </c>
      <c r="AA122" s="5">
        <v>0</v>
      </c>
      <c r="AB122" s="5">
        <v>1</v>
      </c>
      <c r="AC122" s="5">
        <v>1</v>
      </c>
      <c r="AD122" s="5">
        <v>0</v>
      </c>
      <c r="AE122" s="5">
        <v>0</v>
      </c>
      <c r="AF122" s="5">
        <v>0</v>
      </c>
      <c r="AG122" s="5">
        <v>0</v>
      </c>
      <c r="AH122" s="5">
        <v>1</v>
      </c>
      <c r="AI122" s="5">
        <v>1</v>
      </c>
      <c r="AJ122" s="5">
        <v>6</v>
      </c>
      <c r="AK122" s="1" t="s">
        <v>81</v>
      </c>
      <c r="AL122" s="6">
        <v>6</v>
      </c>
      <c r="AM122" s="6">
        <v>9</v>
      </c>
      <c r="AN122" s="1">
        <v>5</v>
      </c>
      <c r="AO122" s="1">
        <v>3</v>
      </c>
      <c r="AP122" s="1">
        <v>55</v>
      </c>
      <c r="AQ122" s="1">
        <v>45</v>
      </c>
      <c r="AR122" s="1" t="s">
        <v>260</v>
      </c>
      <c r="AS122" s="1" t="s">
        <v>261</v>
      </c>
      <c r="AT122" s="1" t="s">
        <v>248</v>
      </c>
      <c r="AU122" s="1" t="s">
        <v>84</v>
      </c>
      <c r="AV122" s="1" t="s">
        <v>85</v>
      </c>
      <c r="AW122" s="1" t="s">
        <v>251</v>
      </c>
      <c r="AX122" s="1"/>
    </row>
    <row r="123" spans="1:50" ht="15" customHeight="1">
      <c r="A123" s="1">
        <v>2010</v>
      </c>
      <c r="B123" s="1" t="s">
        <v>246</v>
      </c>
      <c r="C123" s="1" t="s">
        <v>342</v>
      </c>
      <c r="D123" s="1" t="s">
        <v>233</v>
      </c>
      <c r="E123" s="1" t="s">
        <v>220</v>
      </c>
      <c r="F123" s="4">
        <v>40361</v>
      </c>
      <c r="G123" s="1" t="s">
        <v>253</v>
      </c>
      <c r="H123" s="1" t="s">
        <v>254</v>
      </c>
      <c r="I123" s="1" t="s">
        <v>151</v>
      </c>
      <c r="J123" s="5">
        <v>1</v>
      </c>
      <c r="K123" s="5">
        <v>1</v>
      </c>
      <c r="L123" s="1" t="s">
        <v>190</v>
      </c>
      <c r="M123" s="1" t="s">
        <v>108</v>
      </c>
      <c r="N123" s="1" t="s">
        <v>254</v>
      </c>
      <c r="O123" s="1" t="s">
        <v>254</v>
      </c>
      <c r="P123" s="1" t="s">
        <v>228</v>
      </c>
      <c r="Q123" s="2" t="b">
        <v>1</v>
      </c>
      <c r="R123" s="2" t="b">
        <v>1</v>
      </c>
      <c r="S123" s="1" t="s">
        <v>77</v>
      </c>
      <c r="T123" s="5">
        <v>12</v>
      </c>
      <c r="U123" s="5">
        <v>8</v>
      </c>
      <c r="V123" s="5">
        <v>20</v>
      </c>
      <c r="W123" s="1" t="s">
        <v>81</v>
      </c>
      <c r="X123" s="5">
        <v>3</v>
      </c>
      <c r="Y123" s="5">
        <v>3</v>
      </c>
      <c r="Z123" s="5">
        <v>6</v>
      </c>
      <c r="AA123" s="5">
        <v>1</v>
      </c>
      <c r="AB123" s="5">
        <v>0</v>
      </c>
      <c r="AC123" s="5">
        <v>1</v>
      </c>
      <c r="AD123" s="5">
        <v>0</v>
      </c>
      <c r="AE123" s="5">
        <v>0</v>
      </c>
      <c r="AF123" s="5">
        <v>0</v>
      </c>
      <c r="AG123" s="5">
        <v>1</v>
      </c>
      <c r="AH123" s="5">
        <v>0</v>
      </c>
      <c r="AI123" s="5">
        <v>1</v>
      </c>
      <c r="AJ123" s="5">
        <v>7</v>
      </c>
      <c r="AK123" s="1" t="s">
        <v>81</v>
      </c>
      <c r="AL123" s="6">
        <v>15</v>
      </c>
      <c r="AM123" s="6">
        <v>18</v>
      </c>
      <c r="AN123" s="1">
        <v>8</v>
      </c>
      <c r="AO123" s="1">
        <v>7</v>
      </c>
      <c r="AP123" s="1">
        <v>50</v>
      </c>
      <c r="AQ123" s="1">
        <v>50</v>
      </c>
      <c r="AR123" s="1" t="s">
        <v>249</v>
      </c>
      <c r="AS123" s="1" t="s">
        <v>250</v>
      </c>
      <c r="AT123" s="1" t="s">
        <v>248</v>
      </c>
      <c r="AU123" s="1" t="s">
        <v>84</v>
      </c>
      <c r="AV123" s="1" t="s">
        <v>85</v>
      </c>
      <c r="AW123" s="1" t="s">
        <v>251</v>
      </c>
      <c r="AX123" s="1"/>
    </row>
    <row r="124" spans="1:50" ht="15" customHeight="1">
      <c r="A124" s="1">
        <v>2010</v>
      </c>
      <c r="B124" s="1" t="s">
        <v>246</v>
      </c>
      <c r="C124" s="1" t="s">
        <v>343</v>
      </c>
      <c r="D124" s="1" t="s">
        <v>233</v>
      </c>
      <c r="E124" s="1" t="s">
        <v>220</v>
      </c>
      <c r="F124" s="4">
        <v>40362</v>
      </c>
      <c r="G124" s="1" t="s">
        <v>199</v>
      </c>
      <c r="H124" s="1" t="s">
        <v>115</v>
      </c>
      <c r="I124" s="1" t="s">
        <v>75</v>
      </c>
      <c r="J124" s="5">
        <v>0</v>
      </c>
      <c r="K124" s="5">
        <v>4</v>
      </c>
      <c r="L124" s="1" t="s">
        <v>196</v>
      </c>
      <c r="M124" s="1" t="s">
        <v>93</v>
      </c>
      <c r="N124" s="1" t="s">
        <v>75</v>
      </c>
      <c r="O124" s="1" t="s">
        <v>75</v>
      </c>
      <c r="P124" s="1" t="s">
        <v>31</v>
      </c>
      <c r="Q124" s="2" t="b">
        <v>0</v>
      </c>
      <c r="R124" s="2" t="b">
        <v>0</v>
      </c>
      <c r="S124" s="1" t="s">
        <v>79</v>
      </c>
      <c r="T124" s="5">
        <v>5</v>
      </c>
      <c r="U124" s="5">
        <v>4</v>
      </c>
      <c r="V124" s="5">
        <v>9</v>
      </c>
      <c r="W124" s="1" t="s">
        <v>81</v>
      </c>
      <c r="X124" s="5">
        <v>2</v>
      </c>
      <c r="Y124" s="5">
        <v>1</v>
      </c>
      <c r="Z124" s="5">
        <v>3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3</v>
      </c>
      <c r="AK124" s="1" t="s">
        <v>81</v>
      </c>
      <c r="AL124" s="6">
        <v>19</v>
      </c>
      <c r="AM124" s="6">
        <v>17</v>
      </c>
      <c r="AN124" s="1">
        <v>7</v>
      </c>
      <c r="AO124" s="1">
        <v>6</v>
      </c>
      <c r="AP124" s="1">
        <v>59</v>
      </c>
      <c r="AQ124" s="1">
        <v>41</v>
      </c>
      <c r="AR124" s="1" t="s">
        <v>255</v>
      </c>
      <c r="AS124" s="1" t="s">
        <v>256</v>
      </c>
      <c r="AT124" s="1" t="s">
        <v>248</v>
      </c>
      <c r="AU124" s="1" t="s">
        <v>84</v>
      </c>
      <c r="AV124" s="1" t="s">
        <v>85</v>
      </c>
      <c r="AW124" s="1" t="s">
        <v>251</v>
      </c>
      <c r="AX124" s="1"/>
    </row>
    <row r="125" spans="1:50" ht="15" customHeight="1">
      <c r="A125" s="1">
        <v>2010</v>
      </c>
      <c r="B125" s="1" t="s">
        <v>246</v>
      </c>
      <c r="C125" s="1" t="s">
        <v>344</v>
      </c>
      <c r="D125" s="1" t="s">
        <v>233</v>
      </c>
      <c r="E125" s="1" t="s">
        <v>220</v>
      </c>
      <c r="F125" s="4">
        <v>40362</v>
      </c>
      <c r="G125" s="1" t="s">
        <v>253</v>
      </c>
      <c r="H125" s="1" t="s">
        <v>100</v>
      </c>
      <c r="I125" s="1" t="s">
        <v>171</v>
      </c>
      <c r="J125" s="5">
        <v>0</v>
      </c>
      <c r="K125" s="5">
        <v>1</v>
      </c>
      <c r="L125" s="1" t="s">
        <v>123</v>
      </c>
      <c r="M125" s="1" t="s">
        <v>93</v>
      </c>
      <c r="N125" s="1" t="s">
        <v>171</v>
      </c>
      <c r="O125" s="1" t="s">
        <v>171</v>
      </c>
      <c r="P125" s="1" t="s">
        <v>31</v>
      </c>
      <c r="Q125" s="2" t="b">
        <v>0</v>
      </c>
      <c r="R125" s="2" t="b">
        <v>0</v>
      </c>
      <c r="S125" s="1" t="s">
        <v>79</v>
      </c>
      <c r="T125" s="5">
        <v>1</v>
      </c>
      <c r="U125" s="5">
        <v>7</v>
      </c>
      <c r="V125" s="5">
        <v>8</v>
      </c>
      <c r="W125" s="1" t="s">
        <v>81</v>
      </c>
      <c r="X125" s="5">
        <v>4</v>
      </c>
      <c r="Y125" s="5">
        <v>2</v>
      </c>
      <c r="Z125" s="5">
        <v>6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6</v>
      </c>
      <c r="AK125" s="1" t="s">
        <v>81</v>
      </c>
      <c r="AL125" s="6">
        <v>9</v>
      </c>
      <c r="AM125" s="6">
        <v>13</v>
      </c>
      <c r="AN125" s="1">
        <v>4</v>
      </c>
      <c r="AO125" s="1">
        <v>5</v>
      </c>
      <c r="AP125" s="1">
        <v>42</v>
      </c>
      <c r="AQ125" s="1">
        <v>58</v>
      </c>
      <c r="AR125" s="1" t="s">
        <v>264</v>
      </c>
      <c r="AS125" s="1" t="s">
        <v>250</v>
      </c>
      <c r="AT125" s="1" t="s">
        <v>248</v>
      </c>
      <c r="AU125" s="1" t="s">
        <v>84</v>
      </c>
      <c r="AV125" s="1" t="s">
        <v>85</v>
      </c>
      <c r="AW125" s="1" t="s">
        <v>251</v>
      </c>
      <c r="AX125" s="1"/>
    </row>
    <row r="126" spans="1:50" ht="15" customHeight="1">
      <c r="A126" s="1">
        <v>2010</v>
      </c>
      <c r="B126" s="1" t="s">
        <v>246</v>
      </c>
      <c r="C126" s="1" t="s">
        <v>345</v>
      </c>
      <c r="D126" s="1" t="s">
        <v>238</v>
      </c>
      <c r="E126" s="1" t="s">
        <v>220</v>
      </c>
      <c r="F126" s="4">
        <v>40365</v>
      </c>
      <c r="G126" s="1" t="s">
        <v>253</v>
      </c>
      <c r="H126" s="1" t="s">
        <v>254</v>
      </c>
      <c r="I126" s="1" t="s">
        <v>122</v>
      </c>
      <c r="J126" s="5">
        <v>2</v>
      </c>
      <c r="K126" s="5">
        <v>3</v>
      </c>
      <c r="L126" s="1" t="s">
        <v>346</v>
      </c>
      <c r="M126" s="1" t="s">
        <v>93</v>
      </c>
      <c r="N126" s="1" t="s">
        <v>122</v>
      </c>
      <c r="O126" s="1" t="s">
        <v>122</v>
      </c>
      <c r="P126" s="1" t="s">
        <v>31</v>
      </c>
      <c r="Q126" s="2" t="b">
        <v>0</v>
      </c>
      <c r="R126" s="2" t="b">
        <v>0</v>
      </c>
      <c r="S126" s="1" t="s">
        <v>79</v>
      </c>
      <c r="T126" s="5">
        <v>4</v>
      </c>
      <c r="U126" s="5">
        <v>5</v>
      </c>
      <c r="V126" s="5">
        <v>9</v>
      </c>
      <c r="W126" s="1" t="s">
        <v>81</v>
      </c>
      <c r="X126" s="5">
        <v>2</v>
      </c>
      <c r="Y126" s="5">
        <v>3</v>
      </c>
      <c r="Z126" s="5">
        <v>5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5</v>
      </c>
      <c r="AK126" s="1" t="s">
        <v>81</v>
      </c>
      <c r="AL126" s="6">
        <v>12</v>
      </c>
      <c r="AM126" s="6">
        <v>11</v>
      </c>
      <c r="AN126" s="1">
        <v>6</v>
      </c>
      <c r="AO126" s="1">
        <v>7</v>
      </c>
      <c r="AP126" s="1">
        <v>45</v>
      </c>
      <c r="AQ126" s="1">
        <v>55</v>
      </c>
      <c r="AR126" s="1" t="s">
        <v>255</v>
      </c>
      <c r="AS126" s="1" t="s">
        <v>256</v>
      </c>
      <c r="AT126" s="1" t="s">
        <v>248</v>
      </c>
      <c r="AU126" s="1" t="s">
        <v>84</v>
      </c>
      <c r="AV126" s="1" t="s">
        <v>85</v>
      </c>
      <c r="AW126" s="1" t="s">
        <v>251</v>
      </c>
      <c r="AX126" s="1"/>
    </row>
    <row r="127" spans="1:50" ht="15" customHeight="1">
      <c r="A127" s="1">
        <v>2010</v>
      </c>
      <c r="B127" s="1" t="s">
        <v>246</v>
      </c>
      <c r="C127" s="1" t="s">
        <v>347</v>
      </c>
      <c r="D127" s="1" t="s">
        <v>238</v>
      </c>
      <c r="E127" s="1" t="s">
        <v>220</v>
      </c>
      <c r="F127" s="4">
        <v>40366</v>
      </c>
      <c r="G127" s="1" t="s">
        <v>253</v>
      </c>
      <c r="H127" s="1" t="s">
        <v>75</v>
      </c>
      <c r="I127" s="1" t="s">
        <v>171</v>
      </c>
      <c r="J127" s="5">
        <v>0</v>
      </c>
      <c r="K127" s="5">
        <v>1</v>
      </c>
      <c r="L127" s="1" t="s">
        <v>123</v>
      </c>
      <c r="M127" s="1" t="s">
        <v>93</v>
      </c>
      <c r="N127" s="1" t="s">
        <v>171</v>
      </c>
      <c r="O127" s="1" t="s">
        <v>171</v>
      </c>
      <c r="P127" s="1" t="s">
        <v>31</v>
      </c>
      <c r="Q127" s="2" t="b">
        <v>0</v>
      </c>
      <c r="R127" s="2" t="b">
        <v>0</v>
      </c>
      <c r="S127" s="1" t="s">
        <v>79</v>
      </c>
      <c r="T127" s="5">
        <v>6</v>
      </c>
      <c r="U127" s="5">
        <v>7</v>
      </c>
      <c r="V127" s="5">
        <v>13</v>
      </c>
      <c r="W127" s="1" t="s">
        <v>81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1" t="s">
        <v>81</v>
      </c>
      <c r="AL127" s="6">
        <v>3</v>
      </c>
      <c r="AM127" s="6">
        <v>11</v>
      </c>
      <c r="AN127" s="1">
        <v>2</v>
      </c>
      <c r="AO127" s="1">
        <v>4</v>
      </c>
      <c r="AP127" s="1">
        <v>49</v>
      </c>
      <c r="AQ127" s="1">
        <v>51</v>
      </c>
      <c r="AR127" s="1" t="s">
        <v>278</v>
      </c>
      <c r="AS127" s="1" t="s">
        <v>279</v>
      </c>
      <c r="AT127" s="1" t="s">
        <v>248</v>
      </c>
      <c r="AU127" s="1" t="s">
        <v>84</v>
      </c>
      <c r="AV127" s="1" t="s">
        <v>85</v>
      </c>
      <c r="AW127" s="1" t="s">
        <v>251</v>
      </c>
      <c r="AX127" s="1"/>
    </row>
    <row r="128" spans="1:50" ht="15" customHeight="1">
      <c r="A128" s="1">
        <v>2010</v>
      </c>
      <c r="B128" s="1" t="s">
        <v>246</v>
      </c>
      <c r="C128" s="1" t="s">
        <v>348</v>
      </c>
      <c r="D128" s="1" t="s">
        <v>241</v>
      </c>
      <c r="E128" s="1" t="s">
        <v>220</v>
      </c>
      <c r="F128" s="4">
        <v>40369</v>
      </c>
      <c r="G128" s="1" t="s">
        <v>253</v>
      </c>
      <c r="H128" s="1" t="s">
        <v>254</v>
      </c>
      <c r="I128" s="1" t="s">
        <v>75</v>
      </c>
      <c r="J128" s="5">
        <v>2</v>
      </c>
      <c r="K128" s="5">
        <v>3</v>
      </c>
      <c r="L128" s="1" t="s">
        <v>346</v>
      </c>
      <c r="M128" s="1" t="s">
        <v>93</v>
      </c>
      <c r="N128" s="1" t="s">
        <v>75</v>
      </c>
      <c r="O128" s="1" t="s">
        <v>75</v>
      </c>
      <c r="P128" s="1" t="s">
        <v>31</v>
      </c>
      <c r="Q128" s="2" t="b">
        <v>0</v>
      </c>
      <c r="R128" s="2" t="b">
        <v>0</v>
      </c>
      <c r="S128" s="1" t="s">
        <v>79</v>
      </c>
      <c r="T128" s="5">
        <v>6</v>
      </c>
      <c r="U128" s="5">
        <v>12</v>
      </c>
      <c r="V128" s="5">
        <v>18</v>
      </c>
      <c r="W128" s="1" t="s">
        <v>81</v>
      </c>
      <c r="X128" s="5">
        <v>1</v>
      </c>
      <c r="Y128" s="5">
        <v>3</v>
      </c>
      <c r="Z128" s="5">
        <v>4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4</v>
      </c>
      <c r="AK128" s="1" t="s">
        <v>81</v>
      </c>
      <c r="AL128" s="6">
        <v>13</v>
      </c>
      <c r="AM128" s="6">
        <v>16</v>
      </c>
      <c r="AN128" s="1">
        <v>7</v>
      </c>
      <c r="AO128" s="1">
        <v>7</v>
      </c>
      <c r="AP128" s="1">
        <v>44</v>
      </c>
      <c r="AQ128" s="1">
        <v>56</v>
      </c>
      <c r="AR128" s="1" t="s">
        <v>260</v>
      </c>
      <c r="AS128" s="1" t="s">
        <v>261</v>
      </c>
      <c r="AT128" s="1" t="s">
        <v>248</v>
      </c>
      <c r="AU128" s="1" t="s">
        <v>84</v>
      </c>
      <c r="AV128" s="1" t="s">
        <v>85</v>
      </c>
      <c r="AW128" s="1" t="s">
        <v>251</v>
      </c>
      <c r="AX128" s="1"/>
    </row>
    <row r="129" spans="1:50" ht="15" customHeight="1">
      <c r="A129" s="1">
        <v>2010</v>
      </c>
      <c r="B129" s="1" t="s">
        <v>246</v>
      </c>
      <c r="C129" s="1" t="s">
        <v>349</v>
      </c>
      <c r="D129" s="1" t="s">
        <v>243</v>
      </c>
      <c r="E129" s="1" t="s">
        <v>220</v>
      </c>
      <c r="F129" s="4">
        <v>40370</v>
      </c>
      <c r="G129" s="1" t="s">
        <v>253</v>
      </c>
      <c r="H129" s="1" t="s">
        <v>122</v>
      </c>
      <c r="I129" s="1" t="s">
        <v>171</v>
      </c>
      <c r="J129" s="5">
        <v>0</v>
      </c>
      <c r="K129" s="5">
        <v>1</v>
      </c>
      <c r="L129" s="1" t="s">
        <v>123</v>
      </c>
      <c r="M129" s="1" t="s">
        <v>93</v>
      </c>
      <c r="N129" s="1" t="s">
        <v>171</v>
      </c>
      <c r="O129" s="1" t="s">
        <v>171</v>
      </c>
      <c r="P129" s="1" t="s">
        <v>223</v>
      </c>
      <c r="Q129" s="2" t="b">
        <v>1</v>
      </c>
      <c r="R129" s="2" t="b">
        <v>0</v>
      </c>
      <c r="S129" s="1" t="s">
        <v>79</v>
      </c>
      <c r="T129" s="5">
        <v>6</v>
      </c>
      <c r="U129" s="5">
        <v>8</v>
      </c>
      <c r="V129" s="5">
        <v>14</v>
      </c>
      <c r="W129" s="1" t="s">
        <v>81</v>
      </c>
      <c r="X129" s="5">
        <v>8</v>
      </c>
      <c r="Y129" s="5">
        <v>5</v>
      </c>
      <c r="Z129" s="5">
        <v>13</v>
      </c>
      <c r="AA129" s="5">
        <v>0</v>
      </c>
      <c r="AB129" s="5">
        <v>0</v>
      </c>
      <c r="AC129" s="5">
        <v>0</v>
      </c>
      <c r="AD129" s="5">
        <v>1</v>
      </c>
      <c r="AE129" s="5">
        <v>0</v>
      </c>
      <c r="AF129" s="5">
        <v>1</v>
      </c>
      <c r="AG129" s="5">
        <v>1</v>
      </c>
      <c r="AH129" s="5">
        <v>0</v>
      </c>
      <c r="AI129" s="5">
        <v>1</v>
      </c>
      <c r="AJ129" s="5">
        <v>14</v>
      </c>
      <c r="AK129" s="1" t="s">
        <v>81</v>
      </c>
      <c r="AL129" s="6">
        <v>12</v>
      </c>
      <c r="AM129" s="6">
        <v>18</v>
      </c>
      <c r="AN129" s="1">
        <v>5</v>
      </c>
      <c r="AO129" s="1">
        <v>6</v>
      </c>
      <c r="AP129" s="1">
        <v>42</v>
      </c>
      <c r="AQ129" s="1">
        <v>58</v>
      </c>
      <c r="AR129" s="1" t="s">
        <v>249</v>
      </c>
      <c r="AS129" s="1" t="s">
        <v>250</v>
      </c>
      <c r="AT129" s="1" t="s">
        <v>248</v>
      </c>
      <c r="AU129" s="1" t="s">
        <v>84</v>
      </c>
      <c r="AV129" s="1" t="s">
        <v>85</v>
      </c>
      <c r="AW129" s="1" t="s">
        <v>251</v>
      </c>
      <c r="AX129" s="1"/>
    </row>
    <row r="130" spans="1:50" ht="15" customHeight="1">
      <c r="A130" s="1">
        <v>2014</v>
      </c>
      <c r="B130" s="1" t="s">
        <v>350</v>
      </c>
      <c r="C130" s="1" t="s">
        <v>351</v>
      </c>
      <c r="D130" s="1" t="s">
        <v>72</v>
      </c>
      <c r="E130" s="1" t="s">
        <v>73</v>
      </c>
      <c r="F130" s="4">
        <v>41802</v>
      </c>
      <c r="G130" s="1" t="s">
        <v>221</v>
      </c>
      <c r="H130" s="1" t="s">
        <v>165</v>
      </c>
      <c r="I130" s="1" t="s">
        <v>166</v>
      </c>
      <c r="J130" s="5">
        <v>3</v>
      </c>
      <c r="K130" s="5">
        <v>1</v>
      </c>
      <c r="L130" s="1" t="s">
        <v>130</v>
      </c>
      <c r="M130" s="1" t="s">
        <v>78</v>
      </c>
      <c r="N130" s="1" t="s">
        <v>165</v>
      </c>
      <c r="O130" s="1" t="s">
        <v>165</v>
      </c>
      <c r="P130" s="1" t="s">
        <v>31</v>
      </c>
      <c r="Q130" s="2" t="b">
        <v>0</v>
      </c>
      <c r="R130" s="2" t="b">
        <v>0</v>
      </c>
      <c r="S130" s="1" t="s">
        <v>79</v>
      </c>
      <c r="T130" s="5">
        <v>7</v>
      </c>
      <c r="U130" s="5">
        <v>3</v>
      </c>
      <c r="V130" s="5">
        <v>10</v>
      </c>
      <c r="W130" s="1" t="s">
        <v>81</v>
      </c>
      <c r="X130" s="5">
        <v>2</v>
      </c>
      <c r="Y130" s="5">
        <v>2</v>
      </c>
      <c r="Z130" s="5">
        <v>4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4</v>
      </c>
      <c r="AK130" s="1" t="s">
        <v>81</v>
      </c>
      <c r="AL130" s="6">
        <v>12</v>
      </c>
      <c r="AM130" s="6">
        <v>9</v>
      </c>
      <c r="AN130" s="1">
        <v>4</v>
      </c>
      <c r="AO130" s="1">
        <v>3</v>
      </c>
      <c r="AP130" s="1">
        <v>63</v>
      </c>
      <c r="AQ130" s="1">
        <v>37</v>
      </c>
      <c r="AR130" s="1" t="s">
        <v>352</v>
      </c>
      <c r="AS130" s="1" t="s">
        <v>353</v>
      </c>
      <c r="AT130" s="1" t="s">
        <v>165</v>
      </c>
      <c r="AU130" s="1" t="s">
        <v>84</v>
      </c>
      <c r="AV130" s="1" t="s">
        <v>85</v>
      </c>
      <c r="AW130" s="1" t="s">
        <v>354</v>
      </c>
      <c r="AX130" s="1"/>
    </row>
    <row r="131" spans="1:50" ht="15" customHeight="1">
      <c r="A131" s="1">
        <v>2014</v>
      </c>
      <c r="B131" s="1" t="s">
        <v>350</v>
      </c>
      <c r="C131" s="1" t="s">
        <v>355</v>
      </c>
      <c r="D131" s="1" t="s">
        <v>72</v>
      </c>
      <c r="E131" s="1" t="s">
        <v>73</v>
      </c>
      <c r="F131" s="4">
        <v>41803</v>
      </c>
      <c r="G131" s="1" t="s">
        <v>356</v>
      </c>
      <c r="H131" s="1" t="s">
        <v>128</v>
      </c>
      <c r="I131" s="1" t="s">
        <v>283</v>
      </c>
      <c r="J131" s="5">
        <v>1</v>
      </c>
      <c r="K131" s="5">
        <v>0</v>
      </c>
      <c r="L131" s="1" t="s">
        <v>101</v>
      </c>
      <c r="M131" s="1" t="s">
        <v>78</v>
      </c>
      <c r="N131" s="1" t="s">
        <v>128</v>
      </c>
      <c r="O131" s="1" t="s">
        <v>128</v>
      </c>
      <c r="P131" s="1" t="s">
        <v>31</v>
      </c>
      <c r="Q131" s="2" t="b">
        <v>0</v>
      </c>
      <c r="R131" s="2" t="b">
        <v>0</v>
      </c>
      <c r="S131" s="1" t="s">
        <v>79</v>
      </c>
      <c r="T131" s="5">
        <v>2</v>
      </c>
      <c r="U131" s="5">
        <v>5</v>
      </c>
      <c r="V131" s="5">
        <v>7</v>
      </c>
      <c r="W131" s="1" t="s">
        <v>81</v>
      </c>
      <c r="X131" s="5">
        <v>1</v>
      </c>
      <c r="Y131" s="5">
        <v>1</v>
      </c>
      <c r="Z131" s="5">
        <v>2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2</v>
      </c>
      <c r="AK131" s="1" t="s">
        <v>81</v>
      </c>
      <c r="AL131" s="6">
        <v>6</v>
      </c>
      <c r="AM131" s="6">
        <v>11</v>
      </c>
      <c r="AN131" s="1">
        <v>2</v>
      </c>
      <c r="AO131" s="1">
        <v>3</v>
      </c>
      <c r="AP131" s="1">
        <v>55</v>
      </c>
      <c r="AQ131" s="1">
        <v>45</v>
      </c>
      <c r="AR131" s="1" t="s">
        <v>357</v>
      </c>
      <c r="AS131" s="1" t="s">
        <v>358</v>
      </c>
      <c r="AT131" s="1" t="s">
        <v>165</v>
      </c>
      <c r="AU131" s="1" t="s">
        <v>84</v>
      </c>
      <c r="AV131" s="1" t="s">
        <v>85</v>
      </c>
      <c r="AW131" s="1" t="s">
        <v>354</v>
      </c>
      <c r="AX131" s="1"/>
    </row>
    <row r="132" spans="1:50" ht="15" customHeight="1">
      <c r="A132" s="1">
        <v>2014</v>
      </c>
      <c r="B132" s="1" t="s">
        <v>350</v>
      </c>
      <c r="C132" s="1" t="s">
        <v>359</v>
      </c>
      <c r="D132" s="1" t="s">
        <v>72</v>
      </c>
      <c r="E132" s="1" t="s">
        <v>97</v>
      </c>
      <c r="F132" s="4">
        <v>41803</v>
      </c>
      <c r="G132" s="1" t="s">
        <v>199</v>
      </c>
      <c r="H132" s="1" t="s">
        <v>171</v>
      </c>
      <c r="I132" s="1" t="s">
        <v>122</v>
      </c>
      <c r="J132" s="5">
        <v>1</v>
      </c>
      <c r="K132" s="5">
        <v>5</v>
      </c>
      <c r="L132" s="1" t="s">
        <v>360</v>
      </c>
      <c r="M132" s="1" t="s">
        <v>93</v>
      </c>
      <c r="N132" s="1" t="s">
        <v>122</v>
      </c>
      <c r="O132" s="1" t="s">
        <v>122</v>
      </c>
      <c r="P132" s="1" t="s">
        <v>31</v>
      </c>
      <c r="Q132" s="2" t="b">
        <v>0</v>
      </c>
      <c r="R132" s="2" t="b">
        <v>0</v>
      </c>
      <c r="S132" s="1" t="s">
        <v>79</v>
      </c>
      <c r="T132" s="5">
        <v>4</v>
      </c>
      <c r="U132" s="5">
        <v>1</v>
      </c>
      <c r="V132" s="5">
        <v>5</v>
      </c>
      <c r="W132" s="1" t="s">
        <v>81</v>
      </c>
      <c r="X132" s="5">
        <v>1</v>
      </c>
      <c r="Y132" s="5">
        <v>3</v>
      </c>
      <c r="Z132" s="5">
        <v>4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4</v>
      </c>
      <c r="AK132" s="1" t="s">
        <v>81</v>
      </c>
      <c r="AL132" s="6">
        <v>7</v>
      </c>
      <c r="AM132" s="6">
        <v>5</v>
      </c>
      <c r="AN132" s="1">
        <v>4</v>
      </c>
      <c r="AO132" s="1">
        <v>5</v>
      </c>
      <c r="AP132" s="1">
        <v>61</v>
      </c>
      <c r="AQ132" s="1">
        <v>39</v>
      </c>
      <c r="AR132" s="1" t="s">
        <v>361</v>
      </c>
      <c r="AS132" s="1" t="s">
        <v>362</v>
      </c>
      <c r="AT132" s="1" t="s">
        <v>165</v>
      </c>
      <c r="AU132" s="1" t="s">
        <v>84</v>
      </c>
      <c r="AV132" s="1" t="s">
        <v>85</v>
      </c>
      <c r="AW132" s="1" t="s">
        <v>354</v>
      </c>
      <c r="AX132" s="1"/>
    </row>
    <row r="133" spans="1:50" ht="15" customHeight="1">
      <c r="A133" s="1">
        <v>2014</v>
      </c>
      <c r="B133" s="1" t="s">
        <v>350</v>
      </c>
      <c r="C133" s="1" t="s">
        <v>363</v>
      </c>
      <c r="D133" s="1" t="s">
        <v>72</v>
      </c>
      <c r="E133" s="1" t="s">
        <v>97</v>
      </c>
      <c r="F133" s="4">
        <v>41803</v>
      </c>
      <c r="G133" s="1" t="s">
        <v>74</v>
      </c>
      <c r="H133" s="1" t="s">
        <v>295</v>
      </c>
      <c r="I133" s="1" t="s">
        <v>140</v>
      </c>
      <c r="J133" s="5">
        <v>3</v>
      </c>
      <c r="K133" s="5">
        <v>1</v>
      </c>
      <c r="L133" s="1" t="s">
        <v>130</v>
      </c>
      <c r="M133" s="1" t="s">
        <v>78</v>
      </c>
      <c r="N133" s="1" t="s">
        <v>295</v>
      </c>
      <c r="O133" s="1" t="s">
        <v>295</v>
      </c>
      <c r="P133" s="1" t="s">
        <v>31</v>
      </c>
      <c r="Q133" s="2" t="b">
        <v>0</v>
      </c>
      <c r="R133" s="2" t="b">
        <v>0</v>
      </c>
      <c r="S133" s="1" t="s">
        <v>79</v>
      </c>
      <c r="T133" s="5">
        <v>3</v>
      </c>
      <c r="U133" s="5">
        <v>1</v>
      </c>
      <c r="V133" s="5">
        <v>4</v>
      </c>
      <c r="W133" s="1" t="s">
        <v>81</v>
      </c>
      <c r="X133" s="5">
        <v>1</v>
      </c>
      <c r="Y133" s="5">
        <v>3</v>
      </c>
      <c r="Z133" s="5">
        <v>4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4</v>
      </c>
      <c r="AK133" s="1" t="s">
        <v>81</v>
      </c>
      <c r="AL133" s="6">
        <v>6</v>
      </c>
      <c r="AM133" s="6">
        <v>11</v>
      </c>
      <c r="AN133" s="1">
        <v>4</v>
      </c>
      <c r="AO133" s="1">
        <v>2</v>
      </c>
      <c r="AP133" s="1">
        <v>59</v>
      </c>
      <c r="AQ133" s="1">
        <v>41</v>
      </c>
      <c r="AR133" s="1" t="s">
        <v>364</v>
      </c>
      <c r="AS133" s="1" t="s">
        <v>365</v>
      </c>
      <c r="AT133" s="1" t="s">
        <v>165</v>
      </c>
      <c r="AU133" s="1" t="s">
        <v>84</v>
      </c>
      <c r="AV133" s="1" t="s">
        <v>85</v>
      </c>
      <c r="AW133" s="1" t="s">
        <v>354</v>
      </c>
      <c r="AX133" s="1"/>
    </row>
    <row r="134" spans="1:50" ht="15" customHeight="1">
      <c r="A134" s="1">
        <v>2014</v>
      </c>
      <c r="B134" s="1" t="s">
        <v>350</v>
      </c>
      <c r="C134" s="1" t="s">
        <v>366</v>
      </c>
      <c r="D134" s="1" t="s">
        <v>72</v>
      </c>
      <c r="E134" s="1" t="s">
        <v>114</v>
      </c>
      <c r="F134" s="4">
        <v>41804</v>
      </c>
      <c r="G134" s="1" t="s">
        <v>356</v>
      </c>
      <c r="H134" s="1" t="s">
        <v>367</v>
      </c>
      <c r="I134" s="1" t="s">
        <v>259</v>
      </c>
      <c r="J134" s="5">
        <v>3</v>
      </c>
      <c r="K134" s="5">
        <v>0</v>
      </c>
      <c r="L134" s="1" t="s">
        <v>180</v>
      </c>
      <c r="M134" s="1" t="s">
        <v>78</v>
      </c>
      <c r="N134" s="1" t="s">
        <v>367</v>
      </c>
      <c r="O134" s="1" t="s">
        <v>367</v>
      </c>
      <c r="P134" s="1" t="s">
        <v>31</v>
      </c>
      <c r="Q134" s="2" t="b">
        <v>0</v>
      </c>
      <c r="R134" s="2" t="b">
        <v>0</v>
      </c>
      <c r="S134" s="1" t="s">
        <v>79</v>
      </c>
      <c r="T134" s="5">
        <v>4</v>
      </c>
      <c r="U134" s="5">
        <v>4</v>
      </c>
      <c r="V134" s="5">
        <v>8</v>
      </c>
      <c r="W134" s="1" t="s">
        <v>81</v>
      </c>
      <c r="X134" s="5">
        <v>1</v>
      </c>
      <c r="Y134" s="5">
        <v>2</v>
      </c>
      <c r="Z134" s="5">
        <v>3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3</v>
      </c>
      <c r="AK134" s="1" t="s">
        <v>81</v>
      </c>
      <c r="AL134" s="6">
        <v>8</v>
      </c>
      <c r="AM134" s="6">
        <v>12</v>
      </c>
      <c r="AN134" s="1">
        <v>4</v>
      </c>
      <c r="AO134" s="1">
        <v>7</v>
      </c>
      <c r="AP134" s="1">
        <v>44</v>
      </c>
      <c r="AQ134" s="1">
        <v>56</v>
      </c>
      <c r="AR134" s="1" t="s">
        <v>368</v>
      </c>
      <c r="AS134" s="1" t="s">
        <v>369</v>
      </c>
      <c r="AT134" s="1" t="s">
        <v>165</v>
      </c>
      <c r="AU134" s="1" t="s">
        <v>84</v>
      </c>
      <c r="AV134" s="1" t="s">
        <v>85</v>
      </c>
      <c r="AW134" s="1" t="s">
        <v>354</v>
      </c>
      <c r="AX134" s="1"/>
    </row>
    <row r="135" spans="1:50" ht="15" customHeight="1">
      <c r="A135" s="1">
        <v>2014</v>
      </c>
      <c r="B135" s="1" t="s">
        <v>350</v>
      </c>
      <c r="C135" s="1" t="s">
        <v>370</v>
      </c>
      <c r="D135" s="1" t="s">
        <v>72</v>
      </c>
      <c r="E135" s="1" t="s">
        <v>127</v>
      </c>
      <c r="F135" s="4">
        <v>41804</v>
      </c>
      <c r="G135" s="1" t="s">
        <v>199</v>
      </c>
      <c r="H135" s="1" t="s">
        <v>254</v>
      </c>
      <c r="I135" s="1" t="s">
        <v>76</v>
      </c>
      <c r="J135" s="5">
        <v>1</v>
      </c>
      <c r="K135" s="5">
        <v>3</v>
      </c>
      <c r="L135" s="1" t="s">
        <v>231</v>
      </c>
      <c r="M135" s="1" t="s">
        <v>93</v>
      </c>
      <c r="N135" s="1" t="s">
        <v>76</v>
      </c>
      <c r="O135" s="1" t="s">
        <v>76</v>
      </c>
      <c r="P135" s="1" t="s">
        <v>31</v>
      </c>
      <c r="Q135" s="2" t="b">
        <v>0</v>
      </c>
      <c r="R135" s="2" t="b">
        <v>0</v>
      </c>
      <c r="S135" s="1" t="s">
        <v>79</v>
      </c>
      <c r="T135" s="5">
        <v>5</v>
      </c>
      <c r="U135" s="5">
        <v>6</v>
      </c>
      <c r="V135" s="5">
        <v>11</v>
      </c>
      <c r="W135" s="1" t="s">
        <v>81</v>
      </c>
      <c r="X135" s="5">
        <v>3</v>
      </c>
      <c r="Y135" s="5">
        <v>0</v>
      </c>
      <c r="Z135" s="5">
        <v>3</v>
      </c>
      <c r="AA135" s="5">
        <v>1</v>
      </c>
      <c r="AB135" s="5">
        <v>0</v>
      </c>
      <c r="AC135" s="5">
        <v>1</v>
      </c>
      <c r="AD135" s="5">
        <v>0</v>
      </c>
      <c r="AE135" s="5">
        <v>0</v>
      </c>
      <c r="AF135" s="5">
        <v>0</v>
      </c>
      <c r="AG135" s="5">
        <v>1</v>
      </c>
      <c r="AH135" s="5">
        <v>0</v>
      </c>
      <c r="AI135" s="5">
        <v>1</v>
      </c>
      <c r="AJ135" s="5">
        <v>4</v>
      </c>
      <c r="AK135" s="1" t="s">
        <v>81</v>
      </c>
      <c r="AL135" s="6">
        <v>6</v>
      </c>
      <c r="AM135" s="6">
        <v>9</v>
      </c>
      <c r="AN135" s="1">
        <v>2</v>
      </c>
      <c r="AO135" s="1">
        <v>1</v>
      </c>
      <c r="AP135" s="1">
        <v>57</v>
      </c>
      <c r="AQ135" s="1">
        <v>43</v>
      </c>
      <c r="AR135" s="1" t="s">
        <v>371</v>
      </c>
      <c r="AS135" s="1" t="s">
        <v>372</v>
      </c>
      <c r="AT135" s="1" t="s">
        <v>165</v>
      </c>
      <c r="AU135" s="1" t="s">
        <v>84</v>
      </c>
      <c r="AV135" s="1" t="s">
        <v>85</v>
      </c>
      <c r="AW135" s="1" t="s">
        <v>354</v>
      </c>
      <c r="AX135" s="1"/>
    </row>
    <row r="136" spans="1:50" ht="15" customHeight="1">
      <c r="A136" s="1">
        <v>2014</v>
      </c>
      <c r="B136" s="1" t="s">
        <v>350</v>
      </c>
      <c r="C136" s="1" t="s">
        <v>373</v>
      </c>
      <c r="D136" s="1" t="s">
        <v>72</v>
      </c>
      <c r="E136" s="1" t="s">
        <v>127</v>
      </c>
      <c r="F136" s="4">
        <v>41804</v>
      </c>
      <c r="G136" s="1" t="s">
        <v>74</v>
      </c>
      <c r="H136" s="1" t="s">
        <v>99</v>
      </c>
      <c r="I136" s="1" t="s">
        <v>150</v>
      </c>
      <c r="J136" s="5">
        <v>1</v>
      </c>
      <c r="K136" s="5">
        <v>2</v>
      </c>
      <c r="L136" s="1" t="s">
        <v>200</v>
      </c>
      <c r="M136" s="1" t="s">
        <v>93</v>
      </c>
      <c r="N136" s="1" t="s">
        <v>150</v>
      </c>
      <c r="O136" s="1" t="s">
        <v>150</v>
      </c>
      <c r="P136" s="1" t="s">
        <v>31</v>
      </c>
      <c r="Q136" s="2" t="b">
        <v>0</v>
      </c>
      <c r="R136" s="2" t="b">
        <v>0</v>
      </c>
      <c r="S136" s="1" t="s">
        <v>79</v>
      </c>
      <c r="T136" s="5">
        <v>9</v>
      </c>
      <c r="U136" s="5">
        <v>2</v>
      </c>
      <c r="V136" s="5">
        <v>11</v>
      </c>
      <c r="W136" s="1" t="s">
        <v>81</v>
      </c>
      <c r="X136" s="5">
        <v>1</v>
      </c>
      <c r="Y136" s="5">
        <v>0</v>
      </c>
      <c r="Z136" s="5">
        <v>1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1</v>
      </c>
      <c r="AK136" s="1" t="s">
        <v>81</v>
      </c>
      <c r="AL136" s="6">
        <v>18</v>
      </c>
      <c r="AM136" s="6">
        <v>9</v>
      </c>
      <c r="AN136" s="1">
        <v>6</v>
      </c>
      <c r="AO136" s="1">
        <v>3</v>
      </c>
      <c r="AP136" s="1">
        <v>49</v>
      </c>
      <c r="AQ136" s="1">
        <v>51</v>
      </c>
      <c r="AR136" s="1" t="s">
        <v>374</v>
      </c>
      <c r="AS136" s="1" t="s">
        <v>375</v>
      </c>
      <c r="AT136" s="1" t="s">
        <v>165</v>
      </c>
      <c r="AU136" s="1" t="s">
        <v>84</v>
      </c>
      <c r="AV136" s="1" t="s">
        <v>85</v>
      </c>
      <c r="AW136" s="1" t="s">
        <v>354</v>
      </c>
      <c r="AX136" s="1"/>
    </row>
    <row r="137" spans="1:50" ht="15" customHeight="1">
      <c r="A137" s="1">
        <v>2014</v>
      </c>
      <c r="B137" s="1" t="s">
        <v>350</v>
      </c>
      <c r="C137" s="1" t="s">
        <v>376</v>
      </c>
      <c r="D137" s="1" t="s">
        <v>72</v>
      </c>
      <c r="E137" s="1" t="s">
        <v>114</v>
      </c>
      <c r="F137" s="4">
        <v>41804</v>
      </c>
      <c r="G137" s="1" t="s">
        <v>377</v>
      </c>
      <c r="H137" s="1" t="s">
        <v>116</v>
      </c>
      <c r="I137" s="1" t="s">
        <v>141</v>
      </c>
      <c r="J137" s="5">
        <v>2</v>
      </c>
      <c r="K137" s="5">
        <v>1</v>
      </c>
      <c r="L137" s="1" t="s">
        <v>117</v>
      </c>
      <c r="M137" s="1" t="s">
        <v>78</v>
      </c>
      <c r="N137" s="1" t="s">
        <v>116</v>
      </c>
      <c r="O137" s="1" t="s">
        <v>116</v>
      </c>
      <c r="P137" s="1" t="s">
        <v>31</v>
      </c>
      <c r="Q137" s="2" t="b">
        <v>0</v>
      </c>
      <c r="R137" s="2" t="b">
        <v>0</v>
      </c>
      <c r="S137" s="1" t="s">
        <v>79</v>
      </c>
      <c r="T137" s="5">
        <v>8</v>
      </c>
      <c r="U137" s="5">
        <v>5</v>
      </c>
      <c r="V137" s="5">
        <v>13</v>
      </c>
      <c r="W137" s="1" t="s">
        <v>81</v>
      </c>
      <c r="X137" s="5">
        <v>2</v>
      </c>
      <c r="Y137" s="5">
        <v>2</v>
      </c>
      <c r="Z137" s="5">
        <v>4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4</v>
      </c>
      <c r="AK137" s="1" t="s">
        <v>81</v>
      </c>
      <c r="AL137" s="6">
        <v>18</v>
      </c>
      <c r="AM137" s="6">
        <v>6</v>
      </c>
      <c r="AN137" s="1">
        <v>7</v>
      </c>
      <c r="AO137" s="1">
        <v>4</v>
      </c>
      <c r="AP137" s="1">
        <v>56</v>
      </c>
      <c r="AQ137" s="1">
        <v>44</v>
      </c>
      <c r="AR137" s="1" t="s">
        <v>378</v>
      </c>
      <c r="AS137" s="1" t="s">
        <v>379</v>
      </c>
      <c r="AT137" s="1" t="s">
        <v>165</v>
      </c>
      <c r="AU137" s="1" t="s">
        <v>84</v>
      </c>
      <c r="AV137" s="1" t="s">
        <v>85</v>
      </c>
      <c r="AW137" s="1" t="s">
        <v>354</v>
      </c>
      <c r="AX137" s="1"/>
    </row>
    <row r="138" spans="1:50" ht="15" customHeight="1">
      <c r="A138" s="1">
        <v>2014</v>
      </c>
      <c r="B138" s="1" t="s">
        <v>350</v>
      </c>
      <c r="C138" s="1" t="s">
        <v>380</v>
      </c>
      <c r="D138" s="1" t="s">
        <v>72</v>
      </c>
      <c r="E138" s="1" t="s">
        <v>145</v>
      </c>
      <c r="F138" s="4">
        <v>41805</v>
      </c>
      <c r="G138" s="1" t="s">
        <v>356</v>
      </c>
      <c r="H138" s="1" t="s">
        <v>161</v>
      </c>
      <c r="I138" s="1" t="s">
        <v>91</v>
      </c>
      <c r="J138" s="5">
        <v>2</v>
      </c>
      <c r="K138" s="5">
        <v>1</v>
      </c>
      <c r="L138" s="1" t="s">
        <v>117</v>
      </c>
      <c r="M138" s="1" t="s">
        <v>78</v>
      </c>
      <c r="N138" s="1" t="s">
        <v>161</v>
      </c>
      <c r="O138" s="1" t="s">
        <v>161</v>
      </c>
      <c r="P138" s="1" t="s">
        <v>31</v>
      </c>
      <c r="Q138" s="2" t="b">
        <v>0</v>
      </c>
      <c r="R138" s="2" t="b">
        <v>0</v>
      </c>
      <c r="S138" s="1" t="s">
        <v>79</v>
      </c>
      <c r="T138" s="5">
        <v>8</v>
      </c>
      <c r="U138" s="5">
        <v>5</v>
      </c>
      <c r="V138" s="5">
        <v>13</v>
      </c>
      <c r="W138" s="1" t="s">
        <v>81</v>
      </c>
      <c r="X138" s="5">
        <v>1</v>
      </c>
      <c r="Y138" s="5">
        <v>1</v>
      </c>
      <c r="Z138" s="5">
        <v>2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2</v>
      </c>
      <c r="AK138" s="1" t="s">
        <v>81</v>
      </c>
      <c r="AL138" s="6">
        <v>12</v>
      </c>
      <c r="AM138" s="6">
        <v>9</v>
      </c>
      <c r="AN138" s="1">
        <v>5</v>
      </c>
      <c r="AO138" s="1">
        <v>4</v>
      </c>
      <c r="AP138" s="1">
        <v>52</v>
      </c>
      <c r="AQ138" s="1">
        <v>48</v>
      </c>
      <c r="AR138" s="1" t="s">
        <v>381</v>
      </c>
      <c r="AS138" s="1" t="s">
        <v>382</v>
      </c>
      <c r="AT138" s="1" t="s">
        <v>165</v>
      </c>
      <c r="AU138" s="1" t="s">
        <v>84</v>
      </c>
      <c r="AV138" s="1" t="s">
        <v>85</v>
      </c>
      <c r="AW138" s="1" t="s">
        <v>354</v>
      </c>
      <c r="AX138" s="1"/>
    </row>
    <row r="139" spans="1:50" ht="15" customHeight="1">
      <c r="A139" s="1">
        <v>2014</v>
      </c>
      <c r="B139" s="1" t="s">
        <v>350</v>
      </c>
      <c r="C139" s="1" t="s">
        <v>383</v>
      </c>
      <c r="D139" s="1" t="s">
        <v>72</v>
      </c>
      <c r="E139" s="1" t="s">
        <v>145</v>
      </c>
      <c r="F139" s="4">
        <v>41805</v>
      </c>
      <c r="G139" s="1" t="s">
        <v>199</v>
      </c>
      <c r="H139" s="1" t="s">
        <v>160</v>
      </c>
      <c r="I139" s="1" t="s">
        <v>294</v>
      </c>
      <c r="J139" s="5">
        <v>3</v>
      </c>
      <c r="K139" s="5">
        <v>0</v>
      </c>
      <c r="L139" s="1" t="s">
        <v>180</v>
      </c>
      <c r="M139" s="1" t="s">
        <v>78</v>
      </c>
      <c r="N139" s="1" t="s">
        <v>160</v>
      </c>
      <c r="O139" s="1" t="s">
        <v>160</v>
      </c>
      <c r="P139" s="1" t="s">
        <v>31</v>
      </c>
      <c r="Q139" s="2" t="b">
        <v>0</v>
      </c>
      <c r="R139" s="2" t="b">
        <v>0</v>
      </c>
      <c r="S139" s="1" t="s">
        <v>79</v>
      </c>
      <c r="T139" s="5">
        <v>8</v>
      </c>
      <c r="U139" s="5">
        <v>0</v>
      </c>
      <c r="V139" s="5">
        <v>8</v>
      </c>
      <c r="W139" s="1" t="s">
        <v>81</v>
      </c>
      <c r="X139" s="5">
        <v>3</v>
      </c>
      <c r="Y139" s="5">
        <v>3</v>
      </c>
      <c r="Z139" s="5">
        <v>6</v>
      </c>
      <c r="AA139" s="5">
        <v>0</v>
      </c>
      <c r="AB139" s="5">
        <v>0</v>
      </c>
      <c r="AC139" s="5">
        <v>0</v>
      </c>
      <c r="AD139" s="5">
        <v>0</v>
      </c>
      <c r="AE139" s="5">
        <v>1</v>
      </c>
      <c r="AF139" s="5">
        <v>1</v>
      </c>
      <c r="AG139" s="5">
        <v>0</v>
      </c>
      <c r="AH139" s="5">
        <v>1</v>
      </c>
      <c r="AI139" s="5">
        <v>1</v>
      </c>
      <c r="AJ139" s="5">
        <v>7</v>
      </c>
      <c r="AK139" s="1" t="s">
        <v>81</v>
      </c>
      <c r="AL139" s="6">
        <v>12</v>
      </c>
      <c r="AM139" s="6">
        <v>3</v>
      </c>
      <c r="AN139" s="1">
        <v>4</v>
      </c>
      <c r="AO139" s="1">
        <v>1</v>
      </c>
      <c r="AP139" s="1">
        <v>70</v>
      </c>
      <c r="AQ139" s="1">
        <v>30</v>
      </c>
      <c r="AR139" s="1" t="s">
        <v>384</v>
      </c>
      <c r="AS139" s="1" t="s">
        <v>385</v>
      </c>
      <c r="AT139" s="1" t="s">
        <v>165</v>
      </c>
      <c r="AU139" s="1" t="s">
        <v>84</v>
      </c>
      <c r="AV139" s="1" t="s">
        <v>85</v>
      </c>
      <c r="AW139" s="1" t="s">
        <v>354</v>
      </c>
      <c r="AX139" s="1"/>
    </row>
    <row r="140" spans="1:50" ht="15" customHeight="1">
      <c r="A140" s="1">
        <v>2014</v>
      </c>
      <c r="B140" s="1" t="s">
        <v>350</v>
      </c>
      <c r="C140" s="1" t="s">
        <v>386</v>
      </c>
      <c r="D140" s="1" t="s">
        <v>72</v>
      </c>
      <c r="E140" s="1" t="s">
        <v>139</v>
      </c>
      <c r="F140" s="4">
        <v>41805</v>
      </c>
      <c r="G140" s="1" t="s">
        <v>387</v>
      </c>
      <c r="H140" s="1" t="s">
        <v>115</v>
      </c>
      <c r="I140" s="1" t="s">
        <v>388</v>
      </c>
      <c r="J140" s="5">
        <v>2</v>
      </c>
      <c r="K140" s="5">
        <v>1</v>
      </c>
      <c r="L140" s="1" t="s">
        <v>117</v>
      </c>
      <c r="M140" s="1" t="s">
        <v>78</v>
      </c>
      <c r="N140" s="1" t="s">
        <v>115</v>
      </c>
      <c r="O140" s="1" t="s">
        <v>115</v>
      </c>
      <c r="P140" s="1" t="s">
        <v>31</v>
      </c>
      <c r="Q140" s="2" t="b">
        <v>0</v>
      </c>
      <c r="R140" s="2" t="b">
        <v>0</v>
      </c>
      <c r="S140" s="1" t="s">
        <v>79</v>
      </c>
      <c r="T140" s="5">
        <v>2</v>
      </c>
      <c r="U140" s="5">
        <v>6</v>
      </c>
      <c r="V140" s="5">
        <v>8</v>
      </c>
      <c r="W140" s="1" t="s">
        <v>81</v>
      </c>
      <c r="X140" s="5">
        <v>1</v>
      </c>
      <c r="Y140" s="5">
        <v>1</v>
      </c>
      <c r="Z140" s="5">
        <v>2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2</v>
      </c>
      <c r="AK140" s="1" t="s">
        <v>81</v>
      </c>
      <c r="AL140" s="6">
        <v>10</v>
      </c>
      <c r="AM140" s="6">
        <v>12</v>
      </c>
      <c r="AN140" s="1">
        <v>4</v>
      </c>
      <c r="AO140" s="1">
        <v>7</v>
      </c>
      <c r="AP140" s="1">
        <v>57</v>
      </c>
      <c r="AQ140" s="1">
        <v>43</v>
      </c>
      <c r="AR140" s="1" t="s">
        <v>389</v>
      </c>
      <c r="AS140" s="1" t="s">
        <v>390</v>
      </c>
      <c r="AT140" s="1" t="s">
        <v>165</v>
      </c>
      <c r="AU140" s="1" t="s">
        <v>84</v>
      </c>
      <c r="AV140" s="1" t="s">
        <v>85</v>
      </c>
      <c r="AW140" s="1" t="s">
        <v>354</v>
      </c>
      <c r="AX140" s="1"/>
    </row>
    <row r="141" spans="1:50" ht="15" customHeight="1">
      <c r="A141" s="1">
        <v>2014</v>
      </c>
      <c r="B141" s="1" t="s">
        <v>350</v>
      </c>
      <c r="C141" s="1" t="s">
        <v>391</v>
      </c>
      <c r="D141" s="1" t="s">
        <v>72</v>
      </c>
      <c r="E141" s="1" t="s">
        <v>156</v>
      </c>
      <c r="F141" s="4">
        <v>41806</v>
      </c>
      <c r="G141" s="1" t="s">
        <v>356</v>
      </c>
      <c r="H141" s="1" t="s">
        <v>75</v>
      </c>
      <c r="I141" s="1" t="s">
        <v>135</v>
      </c>
      <c r="J141" s="5">
        <v>4</v>
      </c>
      <c r="K141" s="5">
        <v>0</v>
      </c>
      <c r="L141" s="1" t="s">
        <v>173</v>
      </c>
      <c r="M141" s="1" t="s">
        <v>78</v>
      </c>
      <c r="N141" s="1" t="s">
        <v>75</v>
      </c>
      <c r="O141" s="1" t="s">
        <v>75</v>
      </c>
      <c r="P141" s="1" t="s">
        <v>31</v>
      </c>
      <c r="Q141" s="2" t="b">
        <v>0</v>
      </c>
      <c r="R141" s="2" t="b">
        <v>0</v>
      </c>
      <c r="S141" s="1" t="s">
        <v>79</v>
      </c>
      <c r="T141" s="5">
        <v>4</v>
      </c>
      <c r="U141" s="5">
        <v>6</v>
      </c>
      <c r="V141" s="5">
        <v>10</v>
      </c>
      <c r="W141" s="1" t="s">
        <v>81</v>
      </c>
      <c r="X141" s="5">
        <v>0</v>
      </c>
      <c r="Y141" s="5">
        <v>1</v>
      </c>
      <c r="Z141" s="5">
        <v>1</v>
      </c>
      <c r="AA141" s="5">
        <v>0</v>
      </c>
      <c r="AB141" s="5">
        <v>1</v>
      </c>
      <c r="AC141" s="5">
        <v>1</v>
      </c>
      <c r="AD141" s="5">
        <v>0</v>
      </c>
      <c r="AE141" s="5">
        <v>0</v>
      </c>
      <c r="AF141" s="5">
        <v>0</v>
      </c>
      <c r="AG141" s="5">
        <v>0</v>
      </c>
      <c r="AH141" s="5">
        <v>1</v>
      </c>
      <c r="AI141" s="5">
        <v>1</v>
      </c>
      <c r="AJ141" s="5">
        <v>2</v>
      </c>
      <c r="AK141" s="1" t="s">
        <v>81</v>
      </c>
      <c r="AL141" s="6">
        <v>9</v>
      </c>
      <c r="AM141" s="6">
        <v>10</v>
      </c>
      <c r="AN141" s="1">
        <v>3</v>
      </c>
      <c r="AO141" s="1">
        <v>4</v>
      </c>
      <c r="AP141" s="1">
        <v>55</v>
      </c>
      <c r="AQ141" s="1">
        <v>45</v>
      </c>
      <c r="AR141" s="1" t="s">
        <v>361</v>
      </c>
      <c r="AS141" s="1" t="s">
        <v>362</v>
      </c>
      <c r="AT141" s="1" t="s">
        <v>165</v>
      </c>
      <c r="AU141" s="1" t="s">
        <v>84</v>
      </c>
      <c r="AV141" s="1" t="s">
        <v>85</v>
      </c>
      <c r="AW141" s="1" t="s">
        <v>354</v>
      </c>
      <c r="AX141" s="1"/>
    </row>
    <row r="142" spans="1:50" ht="15" customHeight="1">
      <c r="A142" s="1">
        <v>2014</v>
      </c>
      <c r="B142" s="1" t="s">
        <v>350</v>
      </c>
      <c r="C142" s="1" t="s">
        <v>392</v>
      </c>
      <c r="D142" s="1" t="s">
        <v>72</v>
      </c>
      <c r="E142" s="1" t="s">
        <v>139</v>
      </c>
      <c r="F142" s="4">
        <v>41806</v>
      </c>
      <c r="G142" s="1" t="s">
        <v>199</v>
      </c>
      <c r="H142" s="1" t="s">
        <v>129</v>
      </c>
      <c r="I142" s="1" t="s">
        <v>263</v>
      </c>
      <c r="J142" s="5">
        <v>0</v>
      </c>
      <c r="K142" s="5">
        <v>0</v>
      </c>
      <c r="L142" s="1" t="s">
        <v>107</v>
      </c>
      <c r="M142" s="1" t="s">
        <v>108</v>
      </c>
      <c r="N142" s="1" t="s">
        <v>109</v>
      </c>
      <c r="O142" s="1"/>
      <c r="P142" s="1" t="s">
        <v>110</v>
      </c>
      <c r="Q142" s="2" t="b">
        <v>0</v>
      </c>
      <c r="R142" s="2" t="b">
        <v>0</v>
      </c>
      <c r="S142" s="1" t="s">
        <v>79</v>
      </c>
      <c r="T142" s="5">
        <v>2</v>
      </c>
      <c r="U142" s="5">
        <v>7</v>
      </c>
      <c r="V142" s="5">
        <v>9</v>
      </c>
      <c r="W142" s="1" t="s">
        <v>81</v>
      </c>
      <c r="X142" s="5">
        <v>1</v>
      </c>
      <c r="Y142" s="5">
        <v>0</v>
      </c>
      <c r="Z142" s="5">
        <v>1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1</v>
      </c>
      <c r="AK142" s="1" t="s">
        <v>81</v>
      </c>
      <c r="AL142" s="6">
        <v>6</v>
      </c>
      <c r="AM142" s="6">
        <v>11</v>
      </c>
      <c r="AN142" s="1">
        <v>2</v>
      </c>
      <c r="AO142" s="1">
        <v>6</v>
      </c>
      <c r="AP142" s="1">
        <v>25</v>
      </c>
      <c r="AQ142" s="1">
        <v>75</v>
      </c>
      <c r="AR142" s="1" t="s">
        <v>393</v>
      </c>
      <c r="AS142" s="1" t="s">
        <v>394</v>
      </c>
      <c r="AT142" s="1" t="s">
        <v>165</v>
      </c>
      <c r="AU142" s="1" t="s">
        <v>84</v>
      </c>
      <c r="AV142" s="1" t="s">
        <v>85</v>
      </c>
      <c r="AW142" s="1" t="s">
        <v>354</v>
      </c>
      <c r="AX142" s="1"/>
    </row>
    <row r="143" spans="1:50" ht="15" customHeight="1">
      <c r="A143" s="1">
        <v>2014</v>
      </c>
      <c r="B143" s="1" t="s">
        <v>350</v>
      </c>
      <c r="C143" s="1" t="s">
        <v>395</v>
      </c>
      <c r="D143" s="1" t="s">
        <v>72</v>
      </c>
      <c r="E143" s="1" t="s">
        <v>156</v>
      </c>
      <c r="F143" s="4">
        <v>41806</v>
      </c>
      <c r="G143" s="1" t="s">
        <v>387</v>
      </c>
      <c r="H143" s="1" t="s">
        <v>151</v>
      </c>
      <c r="I143" s="1" t="s">
        <v>146</v>
      </c>
      <c r="J143" s="5">
        <v>1</v>
      </c>
      <c r="K143" s="5">
        <v>2</v>
      </c>
      <c r="L143" s="1" t="s">
        <v>200</v>
      </c>
      <c r="M143" s="1" t="s">
        <v>93</v>
      </c>
      <c r="N143" s="1" t="s">
        <v>146</v>
      </c>
      <c r="O143" s="1" t="s">
        <v>146</v>
      </c>
      <c r="P143" s="1" t="s">
        <v>31</v>
      </c>
      <c r="Q143" s="2" t="b">
        <v>0</v>
      </c>
      <c r="R143" s="2" t="b">
        <v>0</v>
      </c>
      <c r="S143" s="1" t="s">
        <v>79</v>
      </c>
      <c r="T143" s="5">
        <v>7</v>
      </c>
      <c r="U143" s="5">
        <v>3</v>
      </c>
      <c r="V143" s="5">
        <v>10</v>
      </c>
      <c r="W143" s="1" t="s">
        <v>81</v>
      </c>
      <c r="X143" s="5">
        <v>2</v>
      </c>
      <c r="Y143" s="5">
        <v>0</v>
      </c>
      <c r="Z143" s="5">
        <v>2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2</v>
      </c>
      <c r="AK143" s="1" t="s">
        <v>81</v>
      </c>
      <c r="AL143" s="6">
        <v>20</v>
      </c>
      <c r="AM143" s="6">
        <v>7</v>
      </c>
      <c r="AN143" s="1">
        <v>8</v>
      </c>
      <c r="AO143" s="1">
        <v>5</v>
      </c>
      <c r="AP143" s="1">
        <v>64</v>
      </c>
      <c r="AQ143" s="1">
        <v>36</v>
      </c>
      <c r="AR143" s="1" t="s">
        <v>357</v>
      </c>
      <c r="AS143" s="1" t="s">
        <v>358</v>
      </c>
      <c r="AT143" s="1" t="s">
        <v>165</v>
      </c>
      <c r="AU143" s="1" t="s">
        <v>84</v>
      </c>
      <c r="AV143" s="1" t="s">
        <v>85</v>
      </c>
      <c r="AW143" s="1" t="s">
        <v>354</v>
      </c>
      <c r="AX143" s="1"/>
    </row>
    <row r="144" spans="1:50" ht="15" customHeight="1">
      <c r="A144" s="1">
        <v>2014</v>
      </c>
      <c r="B144" s="1" t="s">
        <v>350</v>
      </c>
      <c r="C144" s="1" t="s">
        <v>396</v>
      </c>
      <c r="D144" s="1" t="s">
        <v>72</v>
      </c>
      <c r="E144" s="1" t="s">
        <v>170</v>
      </c>
      <c r="F144" s="4">
        <v>41807</v>
      </c>
      <c r="G144" s="1" t="s">
        <v>356</v>
      </c>
      <c r="H144" s="1" t="s">
        <v>397</v>
      </c>
      <c r="I144" s="1" t="s">
        <v>269</v>
      </c>
      <c r="J144" s="5">
        <v>2</v>
      </c>
      <c r="K144" s="5">
        <v>1</v>
      </c>
      <c r="L144" s="1" t="s">
        <v>117</v>
      </c>
      <c r="M144" s="1" t="s">
        <v>78</v>
      </c>
      <c r="N144" s="1" t="s">
        <v>397</v>
      </c>
      <c r="O144" s="1" t="s">
        <v>397</v>
      </c>
      <c r="P144" s="1" t="s">
        <v>31</v>
      </c>
      <c r="Q144" s="2" t="b">
        <v>0</v>
      </c>
      <c r="R144" s="2" t="b">
        <v>0</v>
      </c>
      <c r="S144" s="1" t="s">
        <v>79</v>
      </c>
      <c r="T144" s="5">
        <v>7</v>
      </c>
      <c r="U144" s="5">
        <v>2</v>
      </c>
      <c r="V144" s="5">
        <v>9</v>
      </c>
      <c r="W144" s="1" t="s">
        <v>81</v>
      </c>
      <c r="X144" s="5">
        <v>1</v>
      </c>
      <c r="Y144" s="5">
        <v>1</v>
      </c>
      <c r="Z144" s="5">
        <v>2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2</v>
      </c>
      <c r="AK144" s="1" t="s">
        <v>81</v>
      </c>
      <c r="AL144" s="6">
        <v>13</v>
      </c>
      <c r="AM144" s="6">
        <v>2</v>
      </c>
      <c r="AN144" s="1">
        <v>6</v>
      </c>
      <c r="AO144" s="1">
        <v>0</v>
      </c>
      <c r="AP144" s="1">
        <v>66</v>
      </c>
      <c r="AQ144" s="1">
        <v>34</v>
      </c>
      <c r="AR144" s="1" t="s">
        <v>368</v>
      </c>
      <c r="AS144" s="1" t="s">
        <v>369</v>
      </c>
      <c r="AT144" s="1" t="s">
        <v>165</v>
      </c>
      <c r="AU144" s="1" t="s">
        <v>84</v>
      </c>
      <c r="AV144" s="1" t="s">
        <v>85</v>
      </c>
      <c r="AW144" s="1" t="s">
        <v>354</v>
      </c>
      <c r="AX144" s="1"/>
    </row>
    <row r="145" spans="1:50" ht="15" customHeight="1">
      <c r="A145" s="1">
        <v>2014</v>
      </c>
      <c r="B145" s="1" t="s">
        <v>350</v>
      </c>
      <c r="C145" s="1" t="s">
        <v>398</v>
      </c>
      <c r="D145" s="1" t="s">
        <v>72</v>
      </c>
      <c r="E145" s="1" t="s">
        <v>73</v>
      </c>
      <c r="F145" s="4">
        <v>41807</v>
      </c>
      <c r="G145" s="1" t="s">
        <v>199</v>
      </c>
      <c r="H145" s="1" t="s">
        <v>165</v>
      </c>
      <c r="I145" s="1" t="s">
        <v>128</v>
      </c>
      <c r="J145" s="5">
        <v>0</v>
      </c>
      <c r="K145" s="5">
        <v>0</v>
      </c>
      <c r="L145" s="1" t="s">
        <v>107</v>
      </c>
      <c r="M145" s="1" t="s">
        <v>108</v>
      </c>
      <c r="N145" s="1" t="s">
        <v>109</v>
      </c>
      <c r="O145" s="1"/>
      <c r="P145" s="1" t="s">
        <v>110</v>
      </c>
      <c r="Q145" s="2" t="b">
        <v>0</v>
      </c>
      <c r="R145" s="2" t="b">
        <v>0</v>
      </c>
      <c r="S145" s="1" t="s">
        <v>79</v>
      </c>
      <c r="T145" s="5">
        <v>4</v>
      </c>
      <c r="U145" s="5">
        <v>3</v>
      </c>
      <c r="V145" s="5">
        <v>7</v>
      </c>
      <c r="W145" s="1" t="s">
        <v>81</v>
      </c>
      <c r="X145" s="5">
        <v>2</v>
      </c>
      <c r="Y145" s="5">
        <v>2</v>
      </c>
      <c r="Z145" s="5">
        <v>4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4</v>
      </c>
      <c r="AK145" s="1" t="s">
        <v>81</v>
      </c>
      <c r="AL145" s="6">
        <v>11</v>
      </c>
      <c r="AM145" s="6">
        <v>12</v>
      </c>
      <c r="AN145" s="1">
        <v>6</v>
      </c>
      <c r="AO145" s="1">
        <v>2</v>
      </c>
      <c r="AP145" s="1">
        <v>50</v>
      </c>
      <c r="AQ145" s="1">
        <v>50</v>
      </c>
      <c r="AR145" s="1" t="s">
        <v>371</v>
      </c>
      <c r="AS145" s="1" t="s">
        <v>372</v>
      </c>
      <c r="AT145" s="1" t="s">
        <v>165</v>
      </c>
      <c r="AU145" s="1" t="s">
        <v>84</v>
      </c>
      <c r="AV145" s="1" t="s">
        <v>85</v>
      </c>
      <c r="AW145" s="1" t="s">
        <v>354</v>
      </c>
      <c r="AX145" s="1"/>
    </row>
    <row r="146" spans="1:50" ht="15" customHeight="1">
      <c r="A146" s="1">
        <v>2014</v>
      </c>
      <c r="B146" s="1" t="s">
        <v>350</v>
      </c>
      <c r="C146" s="1" t="s">
        <v>399</v>
      </c>
      <c r="D146" s="1" t="s">
        <v>72</v>
      </c>
      <c r="E146" s="1" t="s">
        <v>170</v>
      </c>
      <c r="F146" s="4">
        <v>41807</v>
      </c>
      <c r="G146" s="1" t="s">
        <v>74</v>
      </c>
      <c r="H146" s="1" t="s">
        <v>400</v>
      </c>
      <c r="I146" s="1" t="s">
        <v>157</v>
      </c>
      <c r="J146" s="5">
        <v>1</v>
      </c>
      <c r="K146" s="5">
        <v>1</v>
      </c>
      <c r="L146" s="1" t="s">
        <v>190</v>
      </c>
      <c r="M146" s="1" t="s">
        <v>108</v>
      </c>
      <c r="N146" s="1" t="s">
        <v>109</v>
      </c>
      <c r="O146" s="1"/>
      <c r="P146" s="1" t="s">
        <v>110</v>
      </c>
      <c r="Q146" s="2" t="b">
        <v>0</v>
      </c>
      <c r="R146" s="2" t="b">
        <v>0</v>
      </c>
      <c r="S146" s="1" t="s">
        <v>79</v>
      </c>
      <c r="T146" s="5">
        <v>4</v>
      </c>
      <c r="U146" s="5">
        <v>4</v>
      </c>
      <c r="V146" s="5">
        <v>8</v>
      </c>
      <c r="W146" s="1" t="s">
        <v>81</v>
      </c>
      <c r="X146" s="5">
        <v>1</v>
      </c>
      <c r="Y146" s="5">
        <v>3</v>
      </c>
      <c r="Z146" s="5">
        <v>4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4</v>
      </c>
      <c r="AK146" s="1" t="s">
        <v>81</v>
      </c>
      <c r="AL146" s="6">
        <v>12</v>
      </c>
      <c r="AM146" s="6">
        <v>8</v>
      </c>
      <c r="AN146" s="1">
        <v>5</v>
      </c>
      <c r="AO146" s="1">
        <v>5</v>
      </c>
      <c r="AP146" s="1">
        <v>54</v>
      </c>
      <c r="AQ146" s="1">
        <v>46</v>
      </c>
      <c r="AR146" s="1" t="s">
        <v>364</v>
      </c>
      <c r="AS146" s="1" t="s">
        <v>365</v>
      </c>
      <c r="AT146" s="1" t="s">
        <v>165</v>
      </c>
      <c r="AU146" s="1" t="s">
        <v>84</v>
      </c>
      <c r="AV146" s="1" t="s">
        <v>85</v>
      </c>
      <c r="AW146" s="1" t="s">
        <v>354</v>
      </c>
      <c r="AX146" s="1"/>
    </row>
    <row r="147" spans="1:50" ht="15" customHeight="1">
      <c r="A147" s="1">
        <v>2014</v>
      </c>
      <c r="B147" s="1" t="s">
        <v>350</v>
      </c>
      <c r="C147" s="1" t="s">
        <v>401</v>
      </c>
      <c r="D147" s="1" t="s">
        <v>72</v>
      </c>
      <c r="E147" s="1" t="s">
        <v>97</v>
      </c>
      <c r="F147" s="4">
        <v>41808</v>
      </c>
      <c r="G147" s="1" t="s">
        <v>356</v>
      </c>
      <c r="H147" s="1" t="s">
        <v>140</v>
      </c>
      <c r="I147" s="1" t="s">
        <v>122</v>
      </c>
      <c r="J147" s="5">
        <v>2</v>
      </c>
      <c r="K147" s="5">
        <v>3</v>
      </c>
      <c r="L147" s="1" t="s">
        <v>346</v>
      </c>
      <c r="M147" s="1" t="s">
        <v>93</v>
      </c>
      <c r="N147" s="1" t="s">
        <v>122</v>
      </c>
      <c r="O147" s="1" t="s">
        <v>122</v>
      </c>
      <c r="P147" s="1" t="s">
        <v>31</v>
      </c>
      <c r="Q147" s="2" t="b">
        <v>0</v>
      </c>
      <c r="R147" s="2" t="b">
        <v>0</v>
      </c>
      <c r="S147" s="1" t="s">
        <v>79</v>
      </c>
      <c r="T147" s="5">
        <v>3</v>
      </c>
      <c r="U147" s="5">
        <v>2</v>
      </c>
      <c r="V147" s="5">
        <v>5</v>
      </c>
      <c r="W147" s="1" t="s">
        <v>81</v>
      </c>
      <c r="X147" s="5">
        <v>1</v>
      </c>
      <c r="Y147" s="5">
        <v>1</v>
      </c>
      <c r="Z147" s="5">
        <v>2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2</v>
      </c>
      <c r="AK147" s="1" t="s">
        <v>81</v>
      </c>
      <c r="AL147" s="6">
        <v>5</v>
      </c>
      <c r="AM147" s="6">
        <v>7</v>
      </c>
      <c r="AN147" s="1">
        <v>2</v>
      </c>
      <c r="AO147" s="1">
        <v>6</v>
      </c>
      <c r="AP147" s="1">
        <v>50</v>
      </c>
      <c r="AQ147" s="1">
        <v>50</v>
      </c>
      <c r="AR147" s="1" t="s">
        <v>384</v>
      </c>
      <c r="AS147" s="1" t="s">
        <v>385</v>
      </c>
      <c r="AT147" s="1" t="s">
        <v>165</v>
      </c>
      <c r="AU147" s="1" t="s">
        <v>84</v>
      </c>
      <c r="AV147" s="1" t="s">
        <v>85</v>
      </c>
      <c r="AW147" s="1" t="s">
        <v>354</v>
      </c>
      <c r="AX147" s="1"/>
    </row>
    <row r="148" spans="1:50" ht="15" customHeight="1">
      <c r="A148" s="1">
        <v>2014</v>
      </c>
      <c r="B148" s="1" t="s">
        <v>350</v>
      </c>
      <c r="C148" s="1" t="s">
        <v>402</v>
      </c>
      <c r="D148" s="1" t="s">
        <v>72</v>
      </c>
      <c r="E148" s="1" t="s">
        <v>97</v>
      </c>
      <c r="F148" s="4">
        <v>41808</v>
      </c>
      <c r="G148" s="1" t="s">
        <v>199</v>
      </c>
      <c r="H148" s="1" t="s">
        <v>171</v>
      </c>
      <c r="I148" s="1" t="s">
        <v>295</v>
      </c>
      <c r="J148" s="5">
        <v>0</v>
      </c>
      <c r="K148" s="5">
        <v>2</v>
      </c>
      <c r="L148" s="1" t="s">
        <v>92</v>
      </c>
      <c r="M148" s="1" t="s">
        <v>93</v>
      </c>
      <c r="N148" s="1" t="s">
        <v>295</v>
      </c>
      <c r="O148" s="1" t="s">
        <v>295</v>
      </c>
      <c r="P148" s="1" t="s">
        <v>31</v>
      </c>
      <c r="Q148" s="2" t="b">
        <v>0</v>
      </c>
      <c r="R148" s="2" t="b">
        <v>0</v>
      </c>
      <c r="S148" s="1" t="s">
        <v>79</v>
      </c>
      <c r="T148" s="5">
        <v>7</v>
      </c>
      <c r="U148" s="5">
        <v>1</v>
      </c>
      <c r="V148" s="5">
        <v>8</v>
      </c>
      <c r="W148" s="1" t="s">
        <v>81</v>
      </c>
      <c r="X148" s="5">
        <v>1</v>
      </c>
      <c r="Y148" s="5">
        <v>2</v>
      </c>
      <c r="Z148" s="5">
        <v>3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3</v>
      </c>
      <c r="AK148" s="1" t="s">
        <v>81</v>
      </c>
      <c r="AL148" s="6">
        <v>17</v>
      </c>
      <c r="AM148" s="6">
        <v>5</v>
      </c>
      <c r="AN148" s="1">
        <v>8</v>
      </c>
      <c r="AO148" s="1">
        <v>2</v>
      </c>
      <c r="AP148" s="1">
        <v>63</v>
      </c>
      <c r="AQ148" s="1">
        <v>37</v>
      </c>
      <c r="AR148" s="1" t="s">
        <v>389</v>
      </c>
      <c r="AS148" s="1" t="s">
        <v>390</v>
      </c>
      <c r="AT148" s="1" t="s">
        <v>165</v>
      </c>
      <c r="AU148" s="1" t="s">
        <v>84</v>
      </c>
      <c r="AV148" s="1" t="s">
        <v>85</v>
      </c>
      <c r="AW148" s="1" t="s">
        <v>354</v>
      </c>
      <c r="AX148" s="1"/>
    </row>
    <row r="149" spans="1:50" ht="15" customHeight="1">
      <c r="A149" s="1">
        <v>2014</v>
      </c>
      <c r="B149" s="1" t="s">
        <v>350</v>
      </c>
      <c r="C149" s="1" t="s">
        <v>403</v>
      </c>
      <c r="D149" s="1" t="s">
        <v>72</v>
      </c>
      <c r="E149" s="1" t="s">
        <v>73</v>
      </c>
      <c r="F149" s="4">
        <v>41808</v>
      </c>
      <c r="G149" s="1" t="s">
        <v>74</v>
      </c>
      <c r="H149" s="1" t="s">
        <v>283</v>
      </c>
      <c r="I149" s="1" t="s">
        <v>166</v>
      </c>
      <c r="J149" s="5">
        <v>0</v>
      </c>
      <c r="K149" s="5">
        <v>4</v>
      </c>
      <c r="L149" s="1" t="s">
        <v>196</v>
      </c>
      <c r="M149" s="1" t="s">
        <v>93</v>
      </c>
      <c r="N149" s="1" t="s">
        <v>166</v>
      </c>
      <c r="O149" s="1" t="s">
        <v>166</v>
      </c>
      <c r="P149" s="1" t="s">
        <v>31</v>
      </c>
      <c r="Q149" s="2" t="b">
        <v>0</v>
      </c>
      <c r="R149" s="2" t="b">
        <v>0</v>
      </c>
      <c r="S149" s="1" t="s">
        <v>79</v>
      </c>
      <c r="T149" s="5">
        <v>4</v>
      </c>
      <c r="U149" s="5">
        <v>7</v>
      </c>
      <c r="V149" s="5">
        <v>11</v>
      </c>
      <c r="W149" s="1" t="s">
        <v>81</v>
      </c>
      <c r="X149" s="5">
        <v>0</v>
      </c>
      <c r="Y149" s="5">
        <v>1</v>
      </c>
      <c r="Z149" s="5">
        <v>1</v>
      </c>
      <c r="AA149" s="5">
        <v>1</v>
      </c>
      <c r="AB149" s="5">
        <v>0</v>
      </c>
      <c r="AC149" s="5">
        <v>1</v>
      </c>
      <c r="AD149" s="5">
        <v>0</v>
      </c>
      <c r="AE149" s="5">
        <v>0</v>
      </c>
      <c r="AF149" s="5">
        <v>0</v>
      </c>
      <c r="AG149" s="5">
        <v>1</v>
      </c>
      <c r="AH149" s="5">
        <v>0</v>
      </c>
      <c r="AI149" s="5">
        <v>1</v>
      </c>
      <c r="AJ149" s="5">
        <v>2</v>
      </c>
      <c r="AK149" s="1" t="s">
        <v>81</v>
      </c>
      <c r="AL149" s="6">
        <v>11</v>
      </c>
      <c r="AM149" s="6">
        <v>16</v>
      </c>
      <c r="AN149" s="1">
        <v>1</v>
      </c>
      <c r="AO149" s="1">
        <v>8</v>
      </c>
      <c r="AP149" s="1">
        <v>43</v>
      </c>
      <c r="AQ149" s="1">
        <v>57</v>
      </c>
      <c r="AR149" s="1" t="s">
        <v>374</v>
      </c>
      <c r="AS149" s="1" t="s">
        <v>375</v>
      </c>
      <c r="AT149" s="1" t="s">
        <v>165</v>
      </c>
      <c r="AU149" s="1" t="s">
        <v>84</v>
      </c>
      <c r="AV149" s="1" t="s">
        <v>85</v>
      </c>
      <c r="AW149" s="1" t="s">
        <v>354</v>
      </c>
      <c r="AX149" s="1"/>
    </row>
    <row r="150" spans="1:50" ht="15" customHeight="1">
      <c r="A150" s="1">
        <v>2014</v>
      </c>
      <c r="B150" s="1" t="s">
        <v>350</v>
      </c>
      <c r="C150" s="1" t="s">
        <v>404</v>
      </c>
      <c r="D150" s="1" t="s">
        <v>72</v>
      </c>
      <c r="E150" s="1" t="s">
        <v>114</v>
      </c>
      <c r="F150" s="4">
        <v>41809</v>
      </c>
      <c r="G150" s="1" t="s">
        <v>356</v>
      </c>
      <c r="H150" s="1" t="s">
        <v>367</v>
      </c>
      <c r="I150" s="1" t="s">
        <v>116</v>
      </c>
      <c r="J150" s="5">
        <v>2</v>
      </c>
      <c r="K150" s="5">
        <v>1</v>
      </c>
      <c r="L150" s="1" t="s">
        <v>117</v>
      </c>
      <c r="M150" s="1" t="s">
        <v>78</v>
      </c>
      <c r="N150" s="1" t="s">
        <v>367</v>
      </c>
      <c r="O150" s="1" t="s">
        <v>367</v>
      </c>
      <c r="P150" s="1" t="s">
        <v>31</v>
      </c>
      <c r="Q150" s="2" t="b">
        <v>0</v>
      </c>
      <c r="R150" s="2" t="b">
        <v>0</v>
      </c>
      <c r="S150" s="1" t="s">
        <v>79</v>
      </c>
      <c r="T150" s="5">
        <v>5</v>
      </c>
      <c r="U150" s="5">
        <v>5</v>
      </c>
      <c r="V150" s="5">
        <v>10</v>
      </c>
      <c r="W150" s="1" t="s">
        <v>81</v>
      </c>
      <c r="X150" s="5">
        <v>0</v>
      </c>
      <c r="Y150" s="5">
        <v>2</v>
      </c>
      <c r="Z150" s="5">
        <v>2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2</v>
      </c>
      <c r="AK150" s="1" t="s">
        <v>81</v>
      </c>
      <c r="AL150" s="6">
        <v>7</v>
      </c>
      <c r="AM150" s="6">
        <v>12</v>
      </c>
      <c r="AN150" s="1">
        <v>4</v>
      </c>
      <c r="AO150" s="1">
        <v>5</v>
      </c>
      <c r="AP150" s="1">
        <v>40</v>
      </c>
      <c r="AQ150" s="1">
        <v>60</v>
      </c>
      <c r="AR150" s="1" t="s">
        <v>381</v>
      </c>
      <c r="AS150" s="1" t="s">
        <v>382</v>
      </c>
      <c r="AT150" s="1" t="s">
        <v>165</v>
      </c>
      <c r="AU150" s="1" t="s">
        <v>84</v>
      </c>
      <c r="AV150" s="1" t="s">
        <v>85</v>
      </c>
      <c r="AW150" s="1" t="s">
        <v>354</v>
      </c>
      <c r="AX150" s="1"/>
    </row>
    <row r="151" spans="1:50" ht="15" customHeight="1">
      <c r="A151" s="1">
        <v>2014</v>
      </c>
      <c r="B151" s="1" t="s">
        <v>350</v>
      </c>
      <c r="C151" s="1" t="s">
        <v>405</v>
      </c>
      <c r="D151" s="1" t="s">
        <v>72</v>
      </c>
      <c r="E151" s="1" t="s">
        <v>127</v>
      </c>
      <c r="F151" s="4">
        <v>41809</v>
      </c>
      <c r="G151" s="1" t="s">
        <v>199</v>
      </c>
      <c r="H151" s="1" t="s">
        <v>254</v>
      </c>
      <c r="I151" s="1" t="s">
        <v>99</v>
      </c>
      <c r="J151" s="5">
        <v>2</v>
      </c>
      <c r="K151" s="5">
        <v>1</v>
      </c>
      <c r="L151" s="1" t="s">
        <v>117</v>
      </c>
      <c r="M151" s="1" t="s">
        <v>78</v>
      </c>
      <c r="N151" s="1" t="s">
        <v>254</v>
      </c>
      <c r="O151" s="1" t="s">
        <v>254</v>
      </c>
      <c r="P151" s="1" t="s">
        <v>31</v>
      </c>
      <c r="Q151" s="2" t="b">
        <v>0</v>
      </c>
      <c r="R151" s="2" t="b">
        <v>0</v>
      </c>
      <c r="S151" s="1" t="s">
        <v>79</v>
      </c>
      <c r="T151" s="5">
        <v>7</v>
      </c>
      <c r="U151" s="5">
        <v>6</v>
      </c>
      <c r="V151" s="5">
        <v>13</v>
      </c>
      <c r="W151" s="1" t="s">
        <v>81</v>
      </c>
      <c r="X151" s="5">
        <v>1</v>
      </c>
      <c r="Y151" s="5">
        <v>1</v>
      </c>
      <c r="Z151" s="5">
        <v>2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2</v>
      </c>
      <c r="AK151" s="1" t="s">
        <v>81</v>
      </c>
      <c r="AL151" s="6">
        <v>9</v>
      </c>
      <c r="AM151" s="6">
        <v>12</v>
      </c>
      <c r="AN151" s="1">
        <v>5</v>
      </c>
      <c r="AO151" s="1">
        <v>7</v>
      </c>
      <c r="AP151" s="1">
        <v>36</v>
      </c>
      <c r="AQ151" s="1">
        <v>64</v>
      </c>
      <c r="AR151" s="1" t="s">
        <v>352</v>
      </c>
      <c r="AS151" s="1" t="s">
        <v>353</v>
      </c>
      <c r="AT151" s="1" t="s">
        <v>165</v>
      </c>
      <c r="AU151" s="1" t="s">
        <v>84</v>
      </c>
      <c r="AV151" s="1" t="s">
        <v>85</v>
      </c>
      <c r="AW151" s="1" t="s">
        <v>354</v>
      </c>
      <c r="AX151" s="1"/>
    </row>
    <row r="152" spans="1:50" ht="15" customHeight="1">
      <c r="A152" s="1">
        <v>2014</v>
      </c>
      <c r="B152" s="1" t="s">
        <v>350</v>
      </c>
      <c r="C152" s="1" t="s">
        <v>406</v>
      </c>
      <c r="D152" s="1" t="s">
        <v>72</v>
      </c>
      <c r="E152" s="1" t="s">
        <v>114</v>
      </c>
      <c r="F152" s="4">
        <v>41809</v>
      </c>
      <c r="G152" s="1" t="s">
        <v>387</v>
      </c>
      <c r="H152" s="1" t="s">
        <v>141</v>
      </c>
      <c r="I152" s="1" t="s">
        <v>259</v>
      </c>
      <c r="J152" s="5">
        <v>0</v>
      </c>
      <c r="K152" s="5">
        <v>0</v>
      </c>
      <c r="L152" s="1" t="s">
        <v>107</v>
      </c>
      <c r="M152" s="1" t="s">
        <v>108</v>
      </c>
      <c r="N152" s="1" t="s">
        <v>109</v>
      </c>
      <c r="O152" s="1"/>
      <c r="P152" s="1" t="s">
        <v>110</v>
      </c>
      <c r="Q152" s="2" t="b">
        <v>0</v>
      </c>
      <c r="R152" s="2" t="b">
        <v>0</v>
      </c>
      <c r="S152" s="1" t="s">
        <v>79</v>
      </c>
      <c r="T152" s="5">
        <v>5</v>
      </c>
      <c r="U152" s="5">
        <v>7</v>
      </c>
      <c r="V152" s="5">
        <v>12</v>
      </c>
      <c r="W152" s="1" t="s">
        <v>81</v>
      </c>
      <c r="X152" s="5">
        <v>1</v>
      </c>
      <c r="Y152" s="5">
        <v>3</v>
      </c>
      <c r="Z152" s="5">
        <v>4</v>
      </c>
      <c r="AA152" s="5">
        <v>0</v>
      </c>
      <c r="AB152" s="5">
        <v>0</v>
      </c>
      <c r="AC152" s="5">
        <v>0</v>
      </c>
      <c r="AD152" s="5">
        <v>0</v>
      </c>
      <c r="AE152" s="5">
        <v>1</v>
      </c>
      <c r="AF152" s="5">
        <v>1</v>
      </c>
      <c r="AG152" s="5">
        <v>0</v>
      </c>
      <c r="AH152" s="5">
        <v>1</v>
      </c>
      <c r="AI152" s="5">
        <v>1</v>
      </c>
      <c r="AJ152" s="5">
        <v>5</v>
      </c>
      <c r="AK152" s="1" t="s">
        <v>81</v>
      </c>
      <c r="AL152" s="6">
        <v>12</v>
      </c>
      <c r="AM152" s="6">
        <v>10</v>
      </c>
      <c r="AN152" s="1">
        <v>5</v>
      </c>
      <c r="AO152" s="1">
        <v>6</v>
      </c>
      <c r="AP152" s="1">
        <v>69</v>
      </c>
      <c r="AQ152" s="1">
        <v>31</v>
      </c>
      <c r="AR152" s="1" t="s">
        <v>357</v>
      </c>
      <c r="AS152" s="1" t="s">
        <v>358</v>
      </c>
      <c r="AT152" s="1" t="s">
        <v>165</v>
      </c>
      <c r="AU152" s="1" t="s">
        <v>84</v>
      </c>
      <c r="AV152" s="1" t="s">
        <v>85</v>
      </c>
      <c r="AW152" s="1" t="s">
        <v>354</v>
      </c>
      <c r="AX152" s="1"/>
    </row>
    <row r="153" spans="1:50" ht="15" customHeight="1">
      <c r="A153" s="1">
        <v>2014</v>
      </c>
      <c r="B153" s="1" t="s">
        <v>350</v>
      </c>
      <c r="C153" s="1" t="s">
        <v>407</v>
      </c>
      <c r="D153" s="1" t="s">
        <v>72</v>
      </c>
      <c r="E153" s="1" t="s">
        <v>127</v>
      </c>
      <c r="F153" s="4">
        <v>41810</v>
      </c>
      <c r="G153" s="1" t="s">
        <v>356</v>
      </c>
      <c r="H153" s="1" t="s">
        <v>150</v>
      </c>
      <c r="I153" s="1" t="s">
        <v>76</v>
      </c>
      <c r="J153" s="5">
        <v>0</v>
      </c>
      <c r="K153" s="5">
        <v>1</v>
      </c>
      <c r="L153" s="1" t="s">
        <v>123</v>
      </c>
      <c r="M153" s="1" t="s">
        <v>93</v>
      </c>
      <c r="N153" s="1" t="s">
        <v>76</v>
      </c>
      <c r="O153" s="1" t="s">
        <v>76</v>
      </c>
      <c r="P153" s="1" t="s">
        <v>31</v>
      </c>
      <c r="Q153" s="2" t="b">
        <v>0</v>
      </c>
      <c r="R153" s="2" t="b">
        <v>0</v>
      </c>
      <c r="S153" s="1" t="s">
        <v>79</v>
      </c>
      <c r="T153" s="5">
        <v>4</v>
      </c>
      <c r="U153" s="5">
        <v>5</v>
      </c>
      <c r="V153" s="5">
        <v>9</v>
      </c>
      <c r="W153" s="1" t="s">
        <v>81</v>
      </c>
      <c r="X153" s="5">
        <v>1</v>
      </c>
      <c r="Y153" s="5">
        <v>1</v>
      </c>
      <c r="Z153" s="5">
        <v>2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2</v>
      </c>
      <c r="AK153" s="1" t="s">
        <v>81</v>
      </c>
      <c r="AL153" s="6">
        <v>8</v>
      </c>
      <c r="AM153" s="6">
        <v>10</v>
      </c>
      <c r="AN153" s="1">
        <v>3</v>
      </c>
      <c r="AO153" s="1">
        <v>5</v>
      </c>
      <c r="AP153" s="1">
        <v>58</v>
      </c>
      <c r="AQ153" s="1">
        <v>42</v>
      </c>
      <c r="AR153" s="1" t="s">
        <v>378</v>
      </c>
      <c r="AS153" s="1" t="s">
        <v>379</v>
      </c>
      <c r="AT153" s="1" t="s">
        <v>165</v>
      </c>
      <c r="AU153" s="1" t="s">
        <v>84</v>
      </c>
      <c r="AV153" s="1" t="s">
        <v>85</v>
      </c>
      <c r="AW153" s="1" t="s">
        <v>354</v>
      </c>
      <c r="AX153" s="1"/>
    </row>
    <row r="154" spans="1:50" ht="15" customHeight="1">
      <c r="A154" s="1">
        <v>2014</v>
      </c>
      <c r="B154" s="1" t="s">
        <v>350</v>
      </c>
      <c r="C154" s="1" t="s">
        <v>408</v>
      </c>
      <c r="D154" s="1" t="s">
        <v>72</v>
      </c>
      <c r="E154" s="1" t="s">
        <v>145</v>
      </c>
      <c r="F154" s="4">
        <v>41810</v>
      </c>
      <c r="G154" s="1" t="s">
        <v>199</v>
      </c>
      <c r="H154" s="1" t="s">
        <v>161</v>
      </c>
      <c r="I154" s="1" t="s">
        <v>160</v>
      </c>
      <c r="J154" s="5">
        <v>2</v>
      </c>
      <c r="K154" s="5">
        <v>5</v>
      </c>
      <c r="L154" s="1" t="s">
        <v>409</v>
      </c>
      <c r="M154" s="1" t="s">
        <v>93</v>
      </c>
      <c r="N154" s="1" t="s">
        <v>160</v>
      </c>
      <c r="O154" s="1" t="s">
        <v>160</v>
      </c>
      <c r="P154" s="1" t="s">
        <v>31</v>
      </c>
      <c r="Q154" s="2" t="b">
        <v>0</v>
      </c>
      <c r="R154" s="2" t="b">
        <v>0</v>
      </c>
      <c r="S154" s="1" t="s">
        <v>79</v>
      </c>
      <c r="T154" s="5">
        <v>5</v>
      </c>
      <c r="U154" s="5">
        <v>3</v>
      </c>
      <c r="V154" s="5">
        <v>8</v>
      </c>
      <c r="W154" s="1" t="s">
        <v>81</v>
      </c>
      <c r="X154" s="5">
        <v>0</v>
      </c>
      <c r="Y154" s="5">
        <v>1</v>
      </c>
      <c r="Z154" s="5">
        <v>1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1</v>
      </c>
      <c r="AK154" s="1" t="s">
        <v>81</v>
      </c>
      <c r="AL154" s="6">
        <v>14</v>
      </c>
      <c r="AM154" s="6">
        <v>14</v>
      </c>
      <c r="AN154" s="1">
        <v>3</v>
      </c>
      <c r="AO154" s="1">
        <v>6</v>
      </c>
      <c r="AP154" s="1">
        <v>59</v>
      </c>
      <c r="AQ154" s="1">
        <v>41</v>
      </c>
      <c r="AR154" s="1" t="s">
        <v>361</v>
      </c>
      <c r="AS154" s="1" t="s">
        <v>362</v>
      </c>
      <c r="AT154" s="1" t="s">
        <v>165</v>
      </c>
      <c r="AU154" s="1" t="s">
        <v>84</v>
      </c>
      <c r="AV154" s="1" t="s">
        <v>85</v>
      </c>
      <c r="AW154" s="1" t="s">
        <v>354</v>
      </c>
      <c r="AX154" s="1"/>
    </row>
    <row r="155" spans="1:50" ht="15" customHeight="1">
      <c r="A155" s="1">
        <v>2014</v>
      </c>
      <c r="B155" s="1" t="s">
        <v>350</v>
      </c>
      <c r="C155" s="1" t="s">
        <v>410</v>
      </c>
      <c r="D155" s="1" t="s">
        <v>72</v>
      </c>
      <c r="E155" s="1" t="s">
        <v>145</v>
      </c>
      <c r="F155" s="4">
        <v>41810</v>
      </c>
      <c r="G155" s="1" t="s">
        <v>387</v>
      </c>
      <c r="H155" s="1" t="s">
        <v>294</v>
      </c>
      <c r="I155" s="1" t="s">
        <v>91</v>
      </c>
      <c r="J155" s="5">
        <v>1</v>
      </c>
      <c r="K155" s="5">
        <v>2</v>
      </c>
      <c r="L155" s="1" t="s">
        <v>200</v>
      </c>
      <c r="M155" s="1" t="s">
        <v>93</v>
      </c>
      <c r="N155" s="1" t="s">
        <v>91</v>
      </c>
      <c r="O155" s="1" t="s">
        <v>91</v>
      </c>
      <c r="P155" s="1" t="s">
        <v>31</v>
      </c>
      <c r="Q155" s="2" t="b">
        <v>0</v>
      </c>
      <c r="R155" s="2" t="b">
        <v>0</v>
      </c>
      <c r="S155" s="1" t="s">
        <v>79</v>
      </c>
      <c r="T155" s="5">
        <v>4</v>
      </c>
      <c r="U155" s="5">
        <v>12</v>
      </c>
      <c r="V155" s="5">
        <v>16</v>
      </c>
      <c r="W155" s="1" t="s">
        <v>81</v>
      </c>
      <c r="X155" s="5">
        <v>2</v>
      </c>
      <c r="Y155" s="5">
        <v>3</v>
      </c>
      <c r="Z155" s="5">
        <v>5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5</v>
      </c>
      <c r="AK155" s="1" t="s">
        <v>81</v>
      </c>
      <c r="AL155" s="6">
        <v>8</v>
      </c>
      <c r="AM155" s="6">
        <v>7</v>
      </c>
      <c r="AN155" s="1">
        <v>3</v>
      </c>
      <c r="AO155" s="1">
        <v>2</v>
      </c>
      <c r="AP155" s="1">
        <v>38</v>
      </c>
      <c r="AQ155" s="1">
        <v>62</v>
      </c>
      <c r="AR155" s="1" t="s">
        <v>393</v>
      </c>
      <c r="AS155" s="1" t="s">
        <v>394</v>
      </c>
      <c r="AT155" s="1" t="s">
        <v>165</v>
      </c>
      <c r="AU155" s="1" t="s">
        <v>84</v>
      </c>
      <c r="AV155" s="1" t="s">
        <v>85</v>
      </c>
      <c r="AW155" s="1" t="s">
        <v>354</v>
      </c>
      <c r="AX155" s="1"/>
    </row>
    <row r="156" spans="1:50" ht="15" customHeight="1">
      <c r="A156" s="1">
        <v>2014</v>
      </c>
      <c r="B156" s="1" t="s">
        <v>350</v>
      </c>
      <c r="C156" s="1" t="s">
        <v>411</v>
      </c>
      <c r="D156" s="1" t="s">
        <v>72</v>
      </c>
      <c r="E156" s="1" t="s">
        <v>139</v>
      </c>
      <c r="F156" s="4">
        <v>41811</v>
      </c>
      <c r="G156" s="1" t="s">
        <v>356</v>
      </c>
      <c r="H156" s="1" t="s">
        <v>115</v>
      </c>
      <c r="I156" s="1" t="s">
        <v>129</v>
      </c>
      <c r="J156" s="5">
        <v>1</v>
      </c>
      <c r="K156" s="5">
        <v>0</v>
      </c>
      <c r="L156" s="1" t="s">
        <v>101</v>
      </c>
      <c r="M156" s="1" t="s">
        <v>78</v>
      </c>
      <c r="N156" s="1" t="s">
        <v>115</v>
      </c>
      <c r="O156" s="1" t="s">
        <v>115</v>
      </c>
      <c r="P156" s="1" t="s">
        <v>31</v>
      </c>
      <c r="Q156" s="2" t="b">
        <v>0</v>
      </c>
      <c r="R156" s="2" t="b">
        <v>0</v>
      </c>
      <c r="S156" s="1" t="s">
        <v>79</v>
      </c>
      <c r="T156" s="5">
        <v>10</v>
      </c>
      <c r="U156" s="5">
        <v>6</v>
      </c>
      <c r="V156" s="5">
        <v>16</v>
      </c>
      <c r="W156" s="1" t="s">
        <v>81</v>
      </c>
      <c r="X156" s="5">
        <v>0</v>
      </c>
      <c r="Y156" s="5">
        <v>2</v>
      </c>
      <c r="Z156" s="5">
        <v>2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2</v>
      </c>
      <c r="AK156" s="1" t="s">
        <v>81</v>
      </c>
      <c r="AL156" s="6">
        <v>17</v>
      </c>
      <c r="AM156" s="6">
        <v>7</v>
      </c>
      <c r="AN156" s="1">
        <v>5</v>
      </c>
      <c r="AO156" s="1">
        <v>3</v>
      </c>
      <c r="AP156" s="1">
        <v>75</v>
      </c>
      <c r="AQ156" s="1">
        <v>25</v>
      </c>
      <c r="AR156" s="1" t="s">
        <v>368</v>
      </c>
      <c r="AS156" s="1" t="s">
        <v>369</v>
      </c>
      <c r="AT156" s="1" t="s">
        <v>165</v>
      </c>
      <c r="AU156" s="1" t="s">
        <v>84</v>
      </c>
      <c r="AV156" s="1" t="s">
        <v>85</v>
      </c>
      <c r="AW156" s="1" t="s">
        <v>354</v>
      </c>
      <c r="AX156" s="1"/>
    </row>
    <row r="157" spans="1:50" ht="15" customHeight="1">
      <c r="A157" s="1">
        <v>2014</v>
      </c>
      <c r="B157" s="1" t="s">
        <v>350</v>
      </c>
      <c r="C157" s="1" t="s">
        <v>412</v>
      </c>
      <c r="D157" s="1" t="s">
        <v>72</v>
      </c>
      <c r="E157" s="1" t="s">
        <v>156</v>
      </c>
      <c r="F157" s="4">
        <v>41811</v>
      </c>
      <c r="G157" s="1" t="s">
        <v>199</v>
      </c>
      <c r="H157" s="1" t="s">
        <v>75</v>
      </c>
      <c r="I157" s="1" t="s">
        <v>151</v>
      </c>
      <c r="J157" s="5">
        <v>2</v>
      </c>
      <c r="K157" s="5">
        <v>2</v>
      </c>
      <c r="L157" s="1" t="s">
        <v>177</v>
      </c>
      <c r="M157" s="1" t="s">
        <v>108</v>
      </c>
      <c r="N157" s="1" t="s">
        <v>109</v>
      </c>
      <c r="O157" s="1"/>
      <c r="P157" s="1" t="s">
        <v>110</v>
      </c>
      <c r="Q157" s="2" t="b">
        <v>0</v>
      </c>
      <c r="R157" s="2" t="b">
        <v>0</v>
      </c>
      <c r="S157" s="1" t="s">
        <v>79</v>
      </c>
      <c r="T157" s="5">
        <v>7</v>
      </c>
      <c r="U157" s="5">
        <v>3</v>
      </c>
      <c r="V157" s="5">
        <v>10</v>
      </c>
      <c r="W157" s="1" t="s">
        <v>81</v>
      </c>
      <c r="X157" s="5">
        <v>0</v>
      </c>
      <c r="Y157" s="5">
        <v>1</v>
      </c>
      <c r="Z157" s="5">
        <v>1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1</v>
      </c>
      <c r="AK157" s="1" t="s">
        <v>81</v>
      </c>
      <c r="AL157" s="6">
        <v>9</v>
      </c>
      <c r="AM157" s="6">
        <v>13</v>
      </c>
      <c r="AN157" s="1">
        <v>2</v>
      </c>
      <c r="AO157" s="1">
        <v>5</v>
      </c>
      <c r="AP157" s="1">
        <v>60</v>
      </c>
      <c r="AQ157" s="1">
        <v>40</v>
      </c>
      <c r="AR157" s="1" t="s">
        <v>371</v>
      </c>
      <c r="AS157" s="1" t="s">
        <v>372</v>
      </c>
      <c r="AT157" s="1" t="s">
        <v>165</v>
      </c>
      <c r="AU157" s="1" t="s">
        <v>84</v>
      </c>
      <c r="AV157" s="1" t="s">
        <v>85</v>
      </c>
      <c r="AW157" s="1" t="s">
        <v>354</v>
      </c>
      <c r="AX157" s="1"/>
    </row>
    <row r="158" spans="1:50" ht="15" customHeight="1">
      <c r="A158" s="1">
        <v>2014</v>
      </c>
      <c r="B158" s="1" t="s">
        <v>350</v>
      </c>
      <c r="C158" s="1" t="s">
        <v>413</v>
      </c>
      <c r="D158" s="1" t="s">
        <v>72</v>
      </c>
      <c r="E158" s="1" t="s">
        <v>139</v>
      </c>
      <c r="F158" s="4">
        <v>41811</v>
      </c>
      <c r="G158" s="1" t="s">
        <v>74</v>
      </c>
      <c r="H158" s="1" t="s">
        <v>263</v>
      </c>
      <c r="I158" s="1" t="s">
        <v>388</v>
      </c>
      <c r="J158" s="5">
        <v>1</v>
      </c>
      <c r="K158" s="5">
        <v>0</v>
      </c>
      <c r="L158" s="1" t="s">
        <v>101</v>
      </c>
      <c r="M158" s="1" t="s">
        <v>78</v>
      </c>
      <c r="N158" s="1" t="s">
        <v>263</v>
      </c>
      <c r="O158" s="1" t="s">
        <v>263</v>
      </c>
      <c r="P158" s="1" t="s">
        <v>31</v>
      </c>
      <c r="Q158" s="2" t="b">
        <v>0</v>
      </c>
      <c r="R158" s="2" t="b">
        <v>0</v>
      </c>
      <c r="S158" s="1" t="s">
        <v>79</v>
      </c>
      <c r="T158" s="5">
        <v>4</v>
      </c>
      <c r="U158" s="5">
        <v>4</v>
      </c>
      <c r="V158" s="5">
        <v>8</v>
      </c>
      <c r="W158" s="1" t="s">
        <v>81</v>
      </c>
      <c r="X158" s="5">
        <v>1</v>
      </c>
      <c r="Y158" s="5">
        <v>1</v>
      </c>
      <c r="Z158" s="5">
        <v>2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2</v>
      </c>
      <c r="AK158" s="1" t="s">
        <v>81</v>
      </c>
      <c r="AL158" s="6">
        <v>17</v>
      </c>
      <c r="AM158" s="6">
        <v>15</v>
      </c>
      <c r="AN158" s="1">
        <v>10</v>
      </c>
      <c r="AO158" s="1">
        <v>6</v>
      </c>
      <c r="AP158" s="1">
        <v>42</v>
      </c>
      <c r="AQ158" s="1">
        <v>58</v>
      </c>
      <c r="AR158" s="1" t="s">
        <v>364</v>
      </c>
      <c r="AS158" s="1" t="s">
        <v>365</v>
      </c>
      <c r="AT158" s="1" t="s">
        <v>165</v>
      </c>
      <c r="AU158" s="1" t="s">
        <v>84</v>
      </c>
      <c r="AV158" s="1" t="s">
        <v>85</v>
      </c>
      <c r="AW158" s="1" t="s">
        <v>354</v>
      </c>
      <c r="AX158" s="1"/>
    </row>
    <row r="159" spans="1:50" ht="15" customHeight="1">
      <c r="A159" s="1">
        <v>2014</v>
      </c>
      <c r="B159" s="1" t="s">
        <v>350</v>
      </c>
      <c r="C159" s="1" t="s">
        <v>414</v>
      </c>
      <c r="D159" s="1" t="s">
        <v>72</v>
      </c>
      <c r="E159" s="1" t="s">
        <v>170</v>
      </c>
      <c r="F159" s="4">
        <v>41812</v>
      </c>
      <c r="G159" s="1" t="s">
        <v>356</v>
      </c>
      <c r="H159" s="1" t="s">
        <v>397</v>
      </c>
      <c r="I159" s="1" t="s">
        <v>400</v>
      </c>
      <c r="J159" s="5">
        <v>1</v>
      </c>
      <c r="K159" s="5">
        <v>0</v>
      </c>
      <c r="L159" s="1" t="s">
        <v>101</v>
      </c>
      <c r="M159" s="1" t="s">
        <v>78</v>
      </c>
      <c r="N159" s="1" t="s">
        <v>397</v>
      </c>
      <c r="O159" s="1" t="s">
        <v>397</v>
      </c>
      <c r="P159" s="1" t="s">
        <v>31</v>
      </c>
      <c r="Q159" s="2" t="b">
        <v>0</v>
      </c>
      <c r="R159" s="2" t="b">
        <v>0</v>
      </c>
      <c r="S159" s="1" t="s">
        <v>79</v>
      </c>
      <c r="T159" s="5">
        <v>5</v>
      </c>
      <c r="U159" s="5">
        <v>8</v>
      </c>
      <c r="V159" s="5">
        <v>13</v>
      </c>
      <c r="W159" s="1" t="s">
        <v>81</v>
      </c>
      <c r="X159" s="5">
        <v>2</v>
      </c>
      <c r="Y159" s="5">
        <v>1</v>
      </c>
      <c r="Z159" s="5">
        <v>3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3</v>
      </c>
      <c r="AK159" s="1" t="s">
        <v>81</v>
      </c>
      <c r="AL159" s="6">
        <v>6</v>
      </c>
      <c r="AM159" s="6">
        <v>9</v>
      </c>
      <c r="AN159" s="1">
        <v>3</v>
      </c>
      <c r="AO159" s="1">
        <v>3</v>
      </c>
      <c r="AP159" s="1">
        <v>53</v>
      </c>
      <c r="AQ159" s="1">
        <v>47</v>
      </c>
      <c r="AR159" s="1" t="s">
        <v>389</v>
      </c>
      <c r="AS159" s="1" t="s">
        <v>390</v>
      </c>
      <c r="AT159" s="1" t="s">
        <v>165</v>
      </c>
      <c r="AU159" s="1" t="s">
        <v>84</v>
      </c>
      <c r="AV159" s="1" t="s">
        <v>85</v>
      </c>
      <c r="AW159" s="1" t="s">
        <v>354</v>
      </c>
      <c r="AX159" s="1"/>
    </row>
    <row r="160" spans="1:50" ht="15" customHeight="1">
      <c r="A160" s="1">
        <v>2014</v>
      </c>
      <c r="B160" s="1" t="s">
        <v>350</v>
      </c>
      <c r="C160" s="1" t="s">
        <v>415</v>
      </c>
      <c r="D160" s="1" t="s">
        <v>72</v>
      </c>
      <c r="E160" s="1" t="s">
        <v>170</v>
      </c>
      <c r="F160" s="4">
        <v>41812</v>
      </c>
      <c r="G160" s="1" t="s">
        <v>199</v>
      </c>
      <c r="H160" s="1" t="s">
        <v>157</v>
      </c>
      <c r="I160" s="1" t="s">
        <v>269</v>
      </c>
      <c r="J160" s="5">
        <v>2</v>
      </c>
      <c r="K160" s="5">
        <v>4</v>
      </c>
      <c r="L160" s="1" t="s">
        <v>416</v>
      </c>
      <c r="M160" s="1" t="s">
        <v>93</v>
      </c>
      <c r="N160" s="1" t="s">
        <v>269</v>
      </c>
      <c r="O160" s="1" t="s">
        <v>269</v>
      </c>
      <c r="P160" s="1" t="s">
        <v>31</v>
      </c>
      <c r="Q160" s="2" t="b">
        <v>0</v>
      </c>
      <c r="R160" s="2" t="b">
        <v>0</v>
      </c>
      <c r="S160" s="1" t="s">
        <v>79</v>
      </c>
      <c r="T160" s="5">
        <v>7</v>
      </c>
      <c r="U160" s="5">
        <v>5</v>
      </c>
      <c r="V160" s="5">
        <v>12</v>
      </c>
      <c r="W160" s="1" t="s">
        <v>81</v>
      </c>
      <c r="X160" s="5">
        <v>2</v>
      </c>
      <c r="Y160" s="5">
        <v>1</v>
      </c>
      <c r="Z160" s="5">
        <v>3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3</v>
      </c>
      <c r="AK160" s="1" t="s">
        <v>81</v>
      </c>
      <c r="AL160" s="6">
        <v>8</v>
      </c>
      <c r="AM160" s="6">
        <v>11</v>
      </c>
      <c r="AN160" s="1">
        <v>3</v>
      </c>
      <c r="AO160" s="1">
        <v>2</v>
      </c>
      <c r="AP160" s="1">
        <v>53</v>
      </c>
      <c r="AQ160" s="1">
        <v>47</v>
      </c>
      <c r="AR160" s="1" t="s">
        <v>384</v>
      </c>
      <c r="AS160" s="1" t="s">
        <v>385</v>
      </c>
      <c r="AT160" s="1" t="s">
        <v>165</v>
      </c>
      <c r="AU160" s="1" t="s">
        <v>84</v>
      </c>
      <c r="AV160" s="1" t="s">
        <v>85</v>
      </c>
      <c r="AW160" s="1" t="s">
        <v>354</v>
      </c>
      <c r="AX160" s="1"/>
    </row>
    <row r="161" spans="1:50" ht="15" customHeight="1">
      <c r="A161" s="1">
        <v>2014</v>
      </c>
      <c r="B161" s="1" t="s">
        <v>350</v>
      </c>
      <c r="C161" s="1" t="s">
        <v>417</v>
      </c>
      <c r="D161" s="1" t="s">
        <v>72</v>
      </c>
      <c r="E161" s="1" t="s">
        <v>156</v>
      </c>
      <c r="F161" s="4">
        <v>41812</v>
      </c>
      <c r="G161" s="1" t="s">
        <v>74</v>
      </c>
      <c r="H161" s="1" t="s">
        <v>146</v>
      </c>
      <c r="I161" s="1" t="s">
        <v>135</v>
      </c>
      <c r="J161" s="5">
        <v>2</v>
      </c>
      <c r="K161" s="5">
        <v>2</v>
      </c>
      <c r="L161" s="1" t="s">
        <v>177</v>
      </c>
      <c r="M161" s="1" t="s">
        <v>108</v>
      </c>
      <c r="N161" s="1" t="s">
        <v>109</v>
      </c>
      <c r="O161" s="1"/>
      <c r="P161" s="1" t="s">
        <v>110</v>
      </c>
      <c r="Q161" s="2" t="b">
        <v>0</v>
      </c>
      <c r="R161" s="2" t="b">
        <v>0</v>
      </c>
      <c r="S161" s="1" t="s">
        <v>79</v>
      </c>
      <c r="T161" s="5">
        <v>6</v>
      </c>
      <c r="U161" s="5">
        <v>4</v>
      </c>
      <c r="V161" s="5">
        <v>10</v>
      </c>
      <c r="W161" s="1" t="s">
        <v>81</v>
      </c>
      <c r="X161" s="5">
        <v>1</v>
      </c>
      <c r="Y161" s="5">
        <v>0</v>
      </c>
      <c r="Z161" s="5">
        <v>1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1</v>
      </c>
      <c r="AK161" s="1" t="s">
        <v>81</v>
      </c>
      <c r="AL161" s="6">
        <v>11</v>
      </c>
      <c r="AM161" s="6">
        <v>16</v>
      </c>
      <c r="AN161" s="1">
        <v>6</v>
      </c>
      <c r="AO161" s="1">
        <v>5</v>
      </c>
      <c r="AP161" s="1">
        <v>48</v>
      </c>
      <c r="AQ161" s="1">
        <v>52</v>
      </c>
      <c r="AR161" s="1" t="s">
        <v>374</v>
      </c>
      <c r="AS161" s="1" t="s">
        <v>375</v>
      </c>
      <c r="AT161" s="1" t="s">
        <v>165</v>
      </c>
      <c r="AU161" s="1" t="s">
        <v>84</v>
      </c>
      <c r="AV161" s="1" t="s">
        <v>85</v>
      </c>
      <c r="AW161" s="1" t="s">
        <v>354</v>
      </c>
      <c r="AX161" s="1"/>
    </row>
    <row r="162" spans="1:50" ht="15" customHeight="1">
      <c r="A162" s="1">
        <v>2014</v>
      </c>
      <c r="B162" s="1" t="s">
        <v>350</v>
      </c>
      <c r="C162" s="1" t="s">
        <v>418</v>
      </c>
      <c r="D162" s="1" t="s">
        <v>72</v>
      </c>
      <c r="E162" s="1" t="s">
        <v>97</v>
      </c>
      <c r="F162" s="4">
        <v>41813</v>
      </c>
      <c r="G162" s="1" t="s">
        <v>356</v>
      </c>
      <c r="H162" s="1" t="s">
        <v>140</v>
      </c>
      <c r="I162" s="1" t="s">
        <v>171</v>
      </c>
      <c r="J162" s="5">
        <v>0</v>
      </c>
      <c r="K162" s="5">
        <v>3</v>
      </c>
      <c r="L162" s="1" t="s">
        <v>148</v>
      </c>
      <c r="M162" s="1" t="s">
        <v>93</v>
      </c>
      <c r="N162" s="1" t="s">
        <v>171</v>
      </c>
      <c r="O162" s="1" t="s">
        <v>171</v>
      </c>
      <c r="P162" s="1" t="s">
        <v>31</v>
      </c>
      <c r="Q162" s="2" t="b">
        <v>0</v>
      </c>
      <c r="R162" s="2" t="b">
        <v>0</v>
      </c>
      <c r="S162" s="1" t="s">
        <v>79</v>
      </c>
      <c r="T162" s="5">
        <v>2</v>
      </c>
      <c r="U162" s="5">
        <v>6</v>
      </c>
      <c r="V162" s="5">
        <v>8</v>
      </c>
      <c r="W162" s="1" t="s">
        <v>81</v>
      </c>
      <c r="X162" s="5">
        <v>2</v>
      </c>
      <c r="Y162" s="5">
        <v>1</v>
      </c>
      <c r="Z162" s="5">
        <v>3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3</v>
      </c>
      <c r="AK162" s="1" t="s">
        <v>81</v>
      </c>
      <c r="AL162" s="6">
        <v>4</v>
      </c>
      <c r="AM162" s="6">
        <v>6</v>
      </c>
      <c r="AN162" s="1">
        <v>0</v>
      </c>
      <c r="AO162" s="1">
        <v>4</v>
      </c>
      <c r="AP162" s="1">
        <v>51</v>
      </c>
      <c r="AQ162" s="1">
        <v>49</v>
      </c>
      <c r="AR162" s="1" t="s">
        <v>393</v>
      </c>
      <c r="AS162" s="1" t="s">
        <v>394</v>
      </c>
      <c r="AT162" s="1" t="s">
        <v>165</v>
      </c>
      <c r="AU162" s="1" t="s">
        <v>84</v>
      </c>
      <c r="AV162" s="1" t="s">
        <v>85</v>
      </c>
      <c r="AW162" s="1" t="s">
        <v>354</v>
      </c>
      <c r="AX162" s="1"/>
    </row>
    <row r="163" spans="1:50" ht="15" customHeight="1">
      <c r="A163" s="1">
        <v>2014</v>
      </c>
      <c r="B163" s="1" t="s">
        <v>350</v>
      </c>
      <c r="C163" s="1" t="s">
        <v>419</v>
      </c>
      <c r="D163" s="1" t="s">
        <v>72</v>
      </c>
      <c r="E163" s="1" t="s">
        <v>97</v>
      </c>
      <c r="F163" s="4">
        <v>41813</v>
      </c>
      <c r="G163" s="1" t="s">
        <v>356</v>
      </c>
      <c r="H163" s="1" t="s">
        <v>122</v>
      </c>
      <c r="I163" s="1" t="s">
        <v>295</v>
      </c>
      <c r="J163" s="5">
        <v>2</v>
      </c>
      <c r="K163" s="5">
        <v>0</v>
      </c>
      <c r="L163" s="1" t="s">
        <v>152</v>
      </c>
      <c r="M163" s="1" t="s">
        <v>78</v>
      </c>
      <c r="N163" s="1" t="s">
        <v>122</v>
      </c>
      <c r="O163" s="1" t="s">
        <v>122</v>
      </c>
      <c r="P163" s="1" t="s">
        <v>31</v>
      </c>
      <c r="Q163" s="2" t="b">
        <v>0</v>
      </c>
      <c r="R163" s="2" t="b">
        <v>0</v>
      </c>
      <c r="S163" s="1" t="s">
        <v>79</v>
      </c>
      <c r="T163" s="5">
        <v>2</v>
      </c>
      <c r="U163" s="5">
        <v>7</v>
      </c>
      <c r="V163" s="5">
        <v>9</v>
      </c>
      <c r="W163" s="1" t="s">
        <v>81</v>
      </c>
      <c r="X163" s="5">
        <v>1</v>
      </c>
      <c r="Y163" s="5">
        <v>1</v>
      </c>
      <c r="Z163" s="5">
        <v>2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2</v>
      </c>
      <c r="AK163" s="1" t="s">
        <v>81</v>
      </c>
      <c r="AL163" s="6">
        <v>8</v>
      </c>
      <c r="AM163" s="6">
        <v>10</v>
      </c>
      <c r="AN163" s="1">
        <v>3</v>
      </c>
      <c r="AO163" s="1">
        <v>2</v>
      </c>
      <c r="AP163" s="1">
        <v>38</v>
      </c>
      <c r="AQ163" s="1">
        <v>62</v>
      </c>
      <c r="AR163" s="1" t="s">
        <v>352</v>
      </c>
      <c r="AS163" s="1" t="s">
        <v>353</v>
      </c>
      <c r="AT163" s="1" t="s">
        <v>165</v>
      </c>
      <c r="AU163" s="1" t="s">
        <v>84</v>
      </c>
      <c r="AV163" s="1" t="s">
        <v>85</v>
      </c>
      <c r="AW163" s="1" t="s">
        <v>354</v>
      </c>
      <c r="AX163" s="1"/>
    </row>
    <row r="164" spans="1:50" ht="15" customHeight="1">
      <c r="A164" s="1">
        <v>2014</v>
      </c>
      <c r="B164" s="1" t="s">
        <v>350</v>
      </c>
      <c r="C164" s="1" t="s">
        <v>420</v>
      </c>
      <c r="D164" s="1" t="s">
        <v>72</v>
      </c>
      <c r="E164" s="1" t="s">
        <v>73</v>
      </c>
      <c r="F164" s="4">
        <v>41813</v>
      </c>
      <c r="G164" s="1" t="s">
        <v>221</v>
      </c>
      <c r="H164" s="1" t="s">
        <v>283</v>
      </c>
      <c r="I164" s="1" t="s">
        <v>165</v>
      </c>
      <c r="J164" s="5">
        <v>1</v>
      </c>
      <c r="K164" s="5">
        <v>4</v>
      </c>
      <c r="L164" s="1" t="s">
        <v>213</v>
      </c>
      <c r="M164" s="1" t="s">
        <v>93</v>
      </c>
      <c r="N164" s="1" t="s">
        <v>165</v>
      </c>
      <c r="O164" s="1" t="s">
        <v>165</v>
      </c>
      <c r="P164" s="1" t="s">
        <v>31</v>
      </c>
      <c r="Q164" s="2" t="b">
        <v>0</v>
      </c>
      <c r="R164" s="2" t="b">
        <v>0</v>
      </c>
      <c r="S164" s="1" t="s">
        <v>79</v>
      </c>
      <c r="T164" s="5">
        <v>6</v>
      </c>
      <c r="U164" s="5">
        <v>7</v>
      </c>
      <c r="V164" s="5">
        <v>13</v>
      </c>
      <c r="W164" s="1" t="s">
        <v>81</v>
      </c>
      <c r="X164" s="5">
        <v>3</v>
      </c>
      <c r="Y164" s="5">
        <v>0</v>
      </c>
      <c r="Z164" s="5">
        <v>3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3</v>
      </c>
      <c r="AK164" s="1" t="s">
        <v>81</v>
      </c>
      <c r="AL164" s="6">
        <v>8</v>
      </c>
      <c r="AM164" s="6">
        <v>12</v>
      </c>
      <c r="AN164" s="1">
        <v>0</v>
      </c>
      <c r="AO164" s="1">
        <v>8</v>
      </c>
      <c r="AP164" s="1">
        <v>48</v>
      </c>
      <c r="AQ164" s="1">
        <v>52</v>
      </c>
      <c r="AR164" s="1" t="s">
        <v>381</v>
      </c>
      <c r="AS164" s="1" t="s">
        <v>382</v>
      </c>
      <c r="AT164" s="1" t="s">
        <v>165</v>
      </c>
      <c r="AU164" s="1" t="s">
        <v>84</v>
      </c>
      <c r="AV164" s="1" t="s">
        <v>85</v>
      </c>
      <c r="AW164" s="1" t="s">
        <v>354</v>
      </c>
      <c r="AX164" s="1"/>
    </row>
    <row r="165" spans="1:50" ht="15" customHeight="1">
      <c r="A165" s="1">
        <v>2014</v>
      </c>
      <c r="B165" s="1" t="s">
        <v>350</v>
      </c>
      <c r="C165" s="1" t="s">
        <v>421</v>
      </c>
      <c r="D165" s="1" t="s">
        <v>72</v>
      </c>
      <c r="E165" s="1" t="s">
        <v>73</v>
      </c>
      <c r="F165" s="4">
        <v>41813</v>
      </c>
      <c r="G165" s="1" t="s">
        <v>221</v>
      </c>
      <c r="H165" s="1" t="s">
        <v>166</v>
      </c>
      <c r="I165" s="1" t="s">
        <v>128</v>
      </c>
      <c r="J165" s="5">
        <v>1</v>
      </c>
      <c r="K165" s="5">
        <v>3</v>
      </c>
      <c r="L165" s="1" t="s">
        <v>231</v>
      </c>
      <c r="M165" s="1" t="s">
        <v>93</v>
      </c>
      <c r="N165" s="1" t="s">
        <v>128</v>
      </c>
      <c r="O165" s="1" t="s">
        <v>128</v>
      </c>
      <c r="P165" s="1" t="s">
        <v>31</v>
      </c>
      <c r="Q165" s="2" t="b">
        <v>0</v>
      </c>
      <c r="R165" s="2" t="b">
        <v>0</v>
      </c>
      <c r="S165" s="1" t="s">
        <v>79</v>
      </c>
      <c r="T165" s="5">
        <v>7</v>
      </c>
      <c r="U165" s="5">
        <v>9</v>
      </c>
      <c r="V165" s="5">
        <v>16</v>
      </c>
      <c r="W165" s="1" t="s">
        <v>81</v>
      </c>
      <c r="X165" s="5">
        <v>1</v>
      </c>
      <c r="Y165" s="5">
        <v>2</v>
      </c>
      <c r="Z165" s="5">
        <v>3</v>
      </c>
      <c r="AA165" s="5">
        <v>1</v>
      </c>
      <c r="AB165" s="5">
        <v>0</v>
      </c>
      <c r="AC165" s="5">
        <v>1</v>
      </c>
      <c r="AD165" s="5">
        <v>0</v>
      </c>
      <c r="AE165" s="5">
        <v>0</v>
      </c>
      <c r="AF165" s="5">
        <v>0</v>
      </c>
      <c r="AG165" s="5">
        <v>1</v>
      </c>
      <c r="AH165" s="5">
        <v>0</v>
      </c>
      <c r="AI165" s="5">
        <v>1</v>
      </c>
      <c r="AJ165" s="5">
        <v>4</v>
      </c>
      <c r="AK165" s="1" t="s">
        <v>81</v>
      </c>
      <c r="AL165" s="6">
        <v>8</v>
      </c>
      <c r="AM165" s="6">
        <v>9</v>
      </c>
      <c r="AN165" s="1">
        <v>3</v>
      </c>
      <c r="AO165" s="1">
        <v>2</v>
      </c>
      <c r="AP165" s="1">
        <v>53</v>
      </c>
      <c r="AQ165" s="1">
        <v>47</v>
      </c>
      <c r="AR165" s="1" t="s">
        <v>378</v>
      </c>
      <c r="AS165" s="1" t="s">
        <v>379</v>
      </c>
      <c r="AT165" s="1" t="s">
        <v>165</v>
      </c>
      <c r="AU165" s="1" t="s">
        <v>84</v>
      </c>
      <c r="AV165" s="1" t="s">
        <v>85</v>
      </c>
      <c r="AW165" s="1" t="s">
        <v>354</v>
      </c>
      <c r="AX165" s="1"/>
    </row>
    <row r="166" spans="1:50" ht="15" customHeight="1">
      <c r="A166" s="1">
        <v>2014</v>
      </c>
      <c r="B166" s="1" t="s">
        <v>350</v>
      </c>
      <c r="C166" s="1" t="s">
        <v>422</v>
      </c>
      <c r="D166" s="1" t="s">
        <v>72</v>
      </c>
      <c r="E166" s="1" t="s">
        <v>127</v>
      </c>
      <c r="F166" s="4">
        <v>41814</v>
      </c>
      <c r="G166" s="1" t="s">
        <v>356</v>
      </c>
      <c r="H166" s="1" t="s">
        <v>76</v>
      </c>
      <c r="I166" s="1" t="s">
        <v>99</v>
      </c>
      <c r="J166" s="5">
        <v>0</v>
      </c>
      <c r="K166" s="5">
        <v>0</v>
      </c>
      <c r="L166" s="1" t="s">
        <v>107</v>
      </c>
      <c r="M166" s="1" t="s">
        <v>108</v>
      </c>
      <c r="N166" s="1" t="s">
        <v>109</v>
      </c>
      <c r="O166" s="1"/>
      <c r="P166" s="1" t="s">
        <v>110</v>
      </c>
      <c r="Q166" s="2" t="b">
        <v>0</v>
      </c>
      <c r="R166" s="2" t="b">
        <v>0</v>
      </c>
      <c r="S166" s="1" t="s">
        <v>79</v>
      </c>
      <c r="T166" s="5">
        <v>3</v>
      </c>
      <c r="U166" s="5">
        <v>7</v>
      </c>
      <c r="V166" s="5">
        <v>10</v>
      </c>
      <c r="W166" s="1" t="s">
        <v>81</v>
      </c>
      <c r="X166" s="5">
        <v>1</v>
      </c>
      <c r="Y166" s="5">
        <v>2</v>
      </c>
      <c r="Z166" s="5">
        <v>3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3</v>
      </c>
      <c r="AK166" s="1" t="s">
        <v>81</v>
      </c>
      <c r="AL166" s="6">
        <v>3</v>
      </c>
      <c r="AM166" s="6">
        <v>8</v>
      </c>
      <c r="AN166" s="1">
        <v>2</v>
      </c>
      <c r="AO166" s="1">
        <v>3</v>
      </c>
      <c r="AP166" s="1">
        <v>44</v>
      </c>
      <c r="AQ166" s="1">
        <v>56</v>
      </c>
      <c r="AR166" s="1" t="s">
        <v>368</v>
      </c>
      <c r="AS166" s="1" t="s">
        <v>369</v>
      </c>
      <c r="AT166" s="1" t="s">
        <v>165</v>
      </c>
      <c r="AU166" s="1" t="s">
        <v>84</v>
      </c>
      <c r="AV166" s="1" t="s">
        <v>85</v>
      </c>
      <c r="AW166" s="1" t="s">
        <v>354</v>
      </c>
      <c r="AX166" s="1"/>
    </row>
    <row r="167" spans="1:50" ht="15" customHeight="1">
      <c r="A167" s="1">
        <v>2014</v>
      </c>
      <c r="B167" s="1" t="s">
        <v>350</v>
      </c>
      <c r="C167" s="1" t="s">
        <v>423</v>
      </c>
      <c r="D167" s="1" t="s">
        <v>72</v>
      </c>
      <c r="E167" s="1" t="s">
        <v>127</v>
      </c>
      <c r="F167" s="4">
        <v>41814</v>
      </c>
      <c r="G167" s="1" t="s">
        <v>356</v>
      </c>
      <c r="H167" s="1" t="s">
        <v>150</v>
      </c>
      <c r="I167" s="1" t="s">
        <v>254</v>
      </c>
      <c r="J167" s="5">
        <v>0</v>
      </c>
      <c r="K167" s="5">
        <v>1</v>
      </c>
      <c r="L167" s="1" t="s">
        <v>123</v>
      </c>
      <c r="M167" s="1" t="s">
        <v>93</v>
      </c>
      <c r="N167" s="1" t="s">
        <v>254</v>
      </c>
      <c r="O167" s="1" t="s">
        <v>254</v>
      </c>
      <c r="P167" s="1" t="s">
        <v>31</v>
      </c>
      <c r="Q167" s="2" t="b">
        <v>0</v>
      </c>
      <c r="R167" s="2" t="b">
        <v>0</v>
      </c>
      <c r="S167" s="1" t="s">
        <v>79</v>
      </c>
      <c r="T167" s="5">
        <v>3</v>
      </c>
      <c r="U167" s="5">
        <v>3</v>
      </c>
      <c r="V167" s="5">
        <v>6</v>
      </c>
      <c r="W167" s="1" t="s">
        <v>81</v>
      </c>
      <c r="X167" s="5">
        <v>2</v>
      </c>
      <c r="Y167" s="5">
        <v>2</v>
      </c>
      <c r="Z167" s="5">
        <v>4</v>
      </c>
      <c r="AA167" s="5">
        <v>1</v>
      </c>
      <c r="AB167" s="5">
        <v>0</v>
      </c>
      <c r="AC167" s="5">
        <v>1</v>
      </c>
      <c r="AD167" s="5">
        <v>0</v>
      </c>
      <c r="AE167" s="5">
        <v>0</v>
      </c>
      <c r="AF167" s="5">
        <v>0</v>
      </c>
      <c r="AG167" s="5">
        <v>1</v>
      </c>
      <c r="AH167" s="5">
        <v>0</v>
      </c>
      <c r="AI167" s="5">
        <v>1</v>
      </c>
      <c r="AJ167" s="5">
        <v>5</v>
      </c>
      <c r="AK167" s="1" t="s">
        <v>81</v>
      </c>
      <c r="AL167" s="6">
        <v>7</v>
      </c>
      <c r="AM167" s="6">
        <v>11</v>
      </c>
      <c r="AN167" s="1">
        <v>3</v>
      </c>
      <c r="AO167" s="1">
        <v>4</v>
      </c>
      <c r="AP167" s="1">
        <v>54</v>
      </c>
      <c r="AQ167" s="1">
        <v>46</v>
      </c>
      <c r="AR167" s="1" t="s">
        <v>357</v>
      </c>
      <c r="AS167" s="1" t="s">
        <v>358</v>
      </c>
      <c r="AT167" s="1" t="s">
        <v>165</v>
      </c>
      <c r="AU167" s="1" t="s">
        <v>84</v>
      </c>
      <c r="AV167" s="1" t="s">
        <v>85</v>
      </c>
      <c r="AW167" s="1" t="s">
        <v>354</v>
      </c>
      <c r="AX167" s="1"/>
    </row>
    <row r="168" spans="1:50" ht="15" customHeight="1">
      <c r="A168" s="1">
        <v>2014</v>
      </c>
      <c r="B168" s="1" t="s">
        <v>350</v>
      </c>
      <c r="C168" s="1" t="s">
        <v>424</v>
      </c>
      <c r="D168" s="1" t="s">
        <v>72</v>
      </c>
      <c r="E168" s="1" t="s">
        <v>114</v>
      </c>
      <c r="F168" s="4">
        <v>41814</v>
      </c>
      <c r="G168" s="1" t="s">
        <v>199</v>
      </c>
      <c r="H168" s="1" t="s">
        <v>141</v>
      </c>
      <c r="I168" s="1" t="s">
        <v>367</v>
      </c>
      <c r="J168" s="5">
        <v>1</v>
      </c>
      <c r="K168" s="5">
        <v>4</v>
      </c>
      <c r="L168" s="1" t="s">
        <v>213</v>
      </c>
      <c r="M168" s="1" t="s">
        <v>93</v>
      </c>
      <c r="N168" s="1" t="s">
        <v>367</v>
      </c>
      <c r="O168" s="1" t="s">
        <v>367</v>
      </c>
      <c r="P168" s="1" t="s">
        <v>31</v>
      </c>
      <c r="Q168" s="2" t="b">
        <v>0</v>
      </c>
      <c r="R168" s="2" t="b">
        <v>0</v>
      </c>
      <c r="S168" s="1" t="s">
        <v>79</v>
      </c>
      <c r="T168" s="5">
        <v>9</v>
      </c>
      <c r="U168" s="5">
        <v>2</v>
      </c>
      <c r="V168" s="5">
        <v>11</v>
      </c>
      <c r="W168" s="1" t="s">
        <v>81</v>
      </c>
      <c r="X168" s="5">
        <v>1</v>
      </c>
      <c r="Y168" s="5">
        <v>1</v>
      </c>
      <c r="Z168" s="5">
        <v>2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2</v>
      </c>
      <c r="AK168" s="1" t="s">
        <v>81</v>
      </c>
      <c r="AL168" s="6">
        <v>19</v>
      </c>
      <c r="AM168" s="6">
        <v>15</v>
      </c>
      <c r="AN168" s="1">
        <v>8</v>
      </c>
      <c r="AO168" s="1">
        <v>9</v>
      </c>
      <c r="AP168" s="1">
        <v>58</v>
      </c>
      <c r="AQ168" s="1">
        <v>42</v>
      </c>
      <c r="AR168" s="1" t="s">
        <v>364</v>
      </c>
      <c r="AS168" s="1" t="s">
        <v>365</v>
      </c>
      <c r="AT168" s="1" t="s">
        <v>165</v>
      </c>
      <c r="AU168" s="1" t="s">
        <v>84</v>
      </c>
      <c r="AV168" s="1" t="s">
        <v>85</v>
      </c>
      <c r="AW168" s="1" t="s">
        <v>354</v>
      </c>
      <c r="AX168" s="1"/>
    </row>
    <row r="169" spans="1:50" ht="15" customHeight="1">
      <c r="A169" s="1">
        <v>2014</v>
      </c>
      <c r="B169" s="1" t="s">
        <v>350</v>
      </c>
      <c r="C169" s="1" t="s">
        <v>425</v>
      </c>
      <c r="D169" s="1" t="s">
        <v>72</v>
      </c>
      <c r="E169" s="1" t="s">
        <v>114</v>
      </c>
      <c r="F169" s="4">
        <v>41814</v>
      </c>
      <c r="G169" s="1" t="s">
        <v>221</v>
      </c>
      <c r="H169" s="1" t="s">
        <v>259</v>
      </c>
      <c r="I169" s="1" t="s">
        <v>116</v>
      </c>
      <c r="J169" s="5">
        <v>2</v>
      </c>
      <c r="K169" s="5">
        <v>1</v>
      </c>
      <c r="L169" s="1" t="s">
        <v>117</v>
      </c>
      <c r="M169" s="1" t="s">
        <v>78</v>
      </c>
      <c r="N169" s="1" t="s">
        <v>259</v>
      </c>
      <c r="O169" s="1" t="s">
        <v>259</v>
      </c>
      <c r="P169" s="1" t="s">
        <v>31</v>
      </c>
      <c r="Q169" s="2" t="b">
        <v>0</v>
      </c>
      <c r="R169" s="2" t="b">
        <v>0</v>
      </c>
      <c r="S169" s="1" t="s">
        <v>79</v>
      </c>
      <c r="T169" s="5">
        <v>4</v>
      </c>
      <c r="U169" s="5">
        <v>7</v>
      </c>
      <c r="V169" s="5">
        <v>11</v>
      </c>
      <c r="W169" s="1" t="s">
        <v>81</v>
      </c>
      <c r="X169" s="5">
        <v>0</v>
      </c>
      <c r="Y169" s="5">
        <v>3</v>
      </c>
      <c r="Z169" s="5">
        <v>3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3</v>
      </c>
      <c r="AK169" s="1" t="s">
        <v>81</v>
      </c>
      <c r="AL169" s="6">
        <v>10</v>
      </c>
      <c r="AM169" s="6">
        <v>8</v>
      </c>
      <c r="AN169" s="1">
        <v>2</v>
      </c>
      <c r="AO169" s="1">
        <v>3</v>
      </c>
      <c r="AP169" s="1">
        <v>50</v>
      </c>
      <c r="AQ169" s="1">
        <v>50</v>
      </c>
      <c r="AR169" s="1" t="s">
        <v>371</v>
      </c>
      <c r="AS169" s="1" t="s">
        <v>372</v>
      </c>
      <c r="AT169" s="1" t="s">
        <v>165</v>
      </c>
      <c r="AU169" s="1" t="s">
        <v>84</v>
      </c>
      <c r="AV169" s="1" t="s">
        <v>85</v>
      </c>
      <c r="AW169" s="1" t="s">
        <v>354</v>
      </c>
      <c r="AX169" s="1"/>
    </row>
    <row r="170" spans="1:50" ht="15" customHeight="1">
      <c r="A170" s="1">
        <v>2014</v>
      </c>
      <c r="B170" s="1" t="s">
        <v>350</v>
      </c>
      <c r="C170" s="1" t="s">
        <v>426</v>
      </c>
      <c r="D170" s="1" t="s">
        <v>72</v>
      </c>
      <c r="E170" s="1" t="s">
        <v>139</v>
      </c>
      <c r="F170" s="4">
        <v>41815</v>
      </c>
      <c r="G170" s="1" t="s">
        <v>356</v>
      </c>
      <c r="H170" s="1" t="s">
        <v>388</v>
      </c>
      <c r="I170" s="1" t="s">
        <v>129</v>
      </c>
      <c r="J170" s="5">
        <v>3</v>
      </c>
      <c r="K170" s="5">
        <v>1</v>
      </c>
      <c r="L170" s="1" t="s">
        <v>130</v>
      </c>
      <c r="M170" s="1" t="s">
        <v>78</v>
      </c>
      <c r="N170" s="1" t="s">
        <v>388</v>
      </c>
      <c r="O170" s="1" t="s">
        <v>388</v>
      </c>
      <c r="P170" s="1" t="s">
        <v>31</v>
      </c>
      <c r="Q170" s="2" t="b">
        <v>0</v>
      </c>
      <c r="R170" s="2" t="b">
        <v>0</v>
      </c>
      <c r="S170" s="1" t="s">
        <v>79</v>
      </c>
      <c r="T170" s="5">
        <v>6</v>
      </c>
      <c r="U170" s="5">
        <v>5</v>
      </c>
      <c r="V170" s="5">
        <v>11</v>
      </c>
      <c r="W170" s="1" t="s">
        <v>81</v>
      </c>
      <c r="X170" s="5">
        <v>1</v>
      </c>
      <c r="Y170" s="5">
        <v>1</v>
      </c>
      <c r="Z170" s="5">
        <v>2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2</v>
      </c>
      <c r="AK170" s="1" t="s">
        <v>81</v>
      </c>
      <c r="AL170" s="6">
        <v>7</v>
      </c>
      <c r="AM170" s="6">
        <v>4</v>
      </c>
      <c r="AN170" s="1">
        <v>3</v>
      </c>
      <c r="AO170" s="1">
        <v>2</v>
      </c>
      <c r="AP170" s="1">
        <v>59</v>
      </c>
      <c r="AQ170" s="1">
        <v>41</v>
      </c>
      <c r="AR170" s="1" t="s">
        <v>361</v>
      </c>
      <c r="AS170" s="1" t="s">
        <v>362</v>
      </c>
      <c r="AT170" s="1" t="s">
        <v>165</v>
      </c>
      <c r="AU170" s="1" t="s">
        <v>84</v>
      </c>
      <c r="AV170" s="1" t="s">
        <v>85</v>
      </c>
      <c r="AW170" s="1" t="s">
        <v>354</v>
      </c>
      <c r="AX170" s="1"/>
    </row>
    <row r="171" spans="1:50" ht="15" customHeight="1">
      <c r="A171" s="1">
        <v>2014</v>
      </c>
      <c r="B171" s="1" t="s">
        <v>350</v>
      </c>
      <c r="C171" s="1" t="s">
        <v>427</v>
      </c>
      <c r="D171" s="1" t="s">
        <v>72</v>
      </c>
      <c r="E171" s="1" t="s">
        <v>139</v>
      </c>
      <c r="F171" s="4">
        <v>41815</v>
      </c>
      <c r="G171" s="1" t="s">
        <v>356</v>
      </c>
      <c r="H171" s="1" t="s">
        <v>263</v>
      </c>
      <c r="I171" s="1" t="s">
        <v>115</v>
      </c>
      <c r="J171" s="5">
        <v>2</v>
      </c>
      <c r="K171" s="5">
        <v>3</v>
      </c>
      <c r="L171" s="1" t="s">
        <v>346</v>
      </c>
      <c r="M171" s="1" t="s">
        <v>93</v>
      </c>
      <c r="N171" s="1" t="s">
        <v>115</v>
      </c>
      <c r="O171" s="1" t="s">
        <v>115</v>
      </c>
      <c r="P171" s="1" t="s">
        <v>31</v>
      </c>
      <c r="Q171" s="2" t="b">
        <v>0</v>
      </c>
      <c r="R171" s="2" t="b">
        <v>0</v>
      </c>
      <c r="S171" s="1" t="s">
        <v>79</v>
      </c>
      <c r="T171" s="5">
        <v>4</v>
      </c>
      <c r="U171" s="5">
        <v>12</v>
      </c>
      <c r="V171" s="5">
        <v>16</v>
      </c>
      <c r="W171" s="1" t="s">
        <v>81</v>
      </c>
      <c r="X171" s="5">
        <v>2</v>
      </c>
      <c r="Y171" s="5">
        <v>0</v>
      </c>
      <c r="Z171" s="5">
        <v>2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2</v>
      </c>
      <c r="AK171" s="1" t="s">
        <v>81</v>
      </c>
      <c r="AL171" s="6">
        <v>6</v>
      </c>
      <c r="AM171" s="6">
        <v>15</v>
      </c>
      <c r="AN171" s="1">
        <v>2</v>
      </c>
      <c r="AO171" s="1">
        <v>10</v>
      </c>
      <c r="AP171" s="1">
        <v>46</v>
      </c>
      <c r="AQ171" s="1">
        <v>54</v>
      </c>
      <c r="AR171" s="1" t="s">
        <v>384</v>
      </c>
      <c r="AS171" s="1" t="s">
        <v>385</v>
      </c>
      <c r="AT171" s="1" t="s">
        <v>165</v>
      </c>
      <c r="AU171" s="1" t="s">
        <v>84</v>
      </c>
      <c r="AV171" s="1" t="s">
        <v>85</v>
      </c>
      <c r="AW171" s="1" t="s">
        <v>354</v>
      </c>
      <c r="AX171" s="1"/>
    </row>
    <row r="172" spans="1:50" ht="15" customHeight="1">
      <c r="A172" s="1">
        <v>2014</v>
      </c>
      <c r="B172" s="1" t="s">
        <v>350</v>
      </c>
      <c r="C172" s="1" t="s">
        <v>428</v>
      </c>
      <c r="D172" s="1" t="s">
        <v>72</v>
      </c>
      <c r="E172" s="1" t="s">
        <v>145</v>
      </c>
      <c r="F172" s="4">
        <v>41815</v>
      </c>
      <c r="G172" s="1" t="s">
        <v>199</v>
      </c>
      <c r="H172" s="1" t="s">
        <v>294</v>
      </c>
      <c r="I172" s="1" t="s">
        <v>161</v>
      </c>
      <c r="J172" s="5">
        <v>0</v>
      </c>
      <c r="K172" s="5">
        <v>3</v>
      </c>
      <c r="L172" s="1" t="s">
        <v>148</v>
      </c>
      <c r="M172" s="1" t="s">
        <v>93</v>
      </c>
      <c r="N172" s="1" t="s">
        <v>161</v>
      </c>
      <c r="O172" s="1" t="s">
        <v>161</v>
      </c>
      <c r="P172" s="1" t="s">
        <v>31</v>
      </c>
      <c r="Q172" s="2" t="b">
        <v>0</v>
      </c>
      <c r="R172" s="2" t="b">
        <v>0</v>
      </c>
      <c r="S172" s="1" t="s">
        <v>79</v>
      </c>
      <c r="T172" s="5">
        <v>8</v>
      </c>
      <c r="U172" s="5">
        <v>1</v>
      </c>
      <c r="V172" s="5">
        <v>9</v>
      </c>
      <c r="W172" s="1" t="s">
        <v>81</v>
      </c>
      <c r="X172" s="5">
        <v>1</v>
      </c>
      <c r="Y172" s="5">
        <v>0</v>
      </c>
      <c r="Z172" s="5">
        <v>1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1</v>
      </c>
      <c r="AK172" s="1" t="s">
        <v>81</v>
      </c>
      <c r="AL172" s="6">
        <v>17</v>
      </c>
      <c r="AM172" s="6">
        <v>12</v>
      </c>
      <c r="AN172" s="1">
        <v>8</v>
      </c>
      <c r="AO172" s="1">
        <v>8</v>
      </c>
      <c r="AP172" s="1">
        <v>64</v>
      </c>
      <c r="AQ172" s="1">
        <v>36</v>
      </c>
      <c r="AR172" s="1" t="s">
        <v>374</v>
      </c>
      <c r="AS172" s="1" t="s">
        <v>375</v>
      </c>
      <c r="AT172" s="1" t="s">
        <v>165</v>
      </c>
      <c r="AU172" s="1" t="s">
        <v>84</v>
      </c>
      <c r="AV172" s="1" t="s">
        <v>85</v>
      </c>
      <c r="AW172" s="1" t="s">
        <v>354</v>
      </c>
      <c r="AX172" s="1"/>
    </row>
    <row r="173" spans="1:50" ht="15" customHeight="1">
      <c r="A173" s="1">
        <v>2014</v>
      </c>
      <c r="B173" s="1" t="s">
        <v>350</v>
      </c>
      <c r="C173" s="1" t="s">
        <v>429</v>
      </c>
      <c r="D173" s="1" t="s">
        <v>72</v>
      </c>
      <c r="E173" s="1" t="s">
        <v>145</v>
      </c>
      <c r="F173" s="4">
        <v>41815</v>
      </c>
      <c r="G173" s="1" t="s">
        <v>221</v>
      </c>
      <c r="H173" s="1" t="s">
        <v>91</v>
      </c>
      <c r="I173" s="1" t="s">
        <v>160</v>
      </c>
      <c r="J173" s="5">
        <v>0</v>
      </c>
      <c r="K173" s="5">
        <v>0</v>
      </c>
      <c r="L173" s="1" t="s">
        <v>107</v>
      </c>
      <c r="M173" s="1" t="s">
        <v>108</v>
      </c>
      <c r="N173" s="1" t="s">
        <v>109</v>
      </c>
      <c r="O173" s="1"/>
      <c r="P173" s="1" t="s">
        <v>110</v>
      </c>
      <c r="Q173" s="2" t="b">
        <v>0</v>
      </c>
      <c r="R173" s="2" t="b">
        <v>0</v>
      </c>
      <c r="S173" s="1" t="s">
        <v>79</v>
      </c>
      <c r="T173" s="5">
        <v>1</v>
      </c>
      <c r="U173" s="5">
        <v>7</v>
      </c>
      <c r="V173" s="5">
        <v>8</v>
      </c>
      <c r="W173" s="1" t="s">
        <v>81</v>
      </c>
      <c r="X173" s="5">
        <v>1</v>
      </c>
      <c r="Y173" s="5">
        <v>0</v>
      </c>
      <c r="Z173" s="5">
        <v>1</v>
      </c>
      <c r="AA173" s="5">
        <v>1</v>
      </c>
      <c r="AB173" s="5">
        <v>0</v>
      </c>
      <c r="AC173" s="5">
        <v>1</v>
      </c>
      <c r="AD173" s="5">
        <v>0</v>
      </c>
      <c r="AE173" s="5">
        <v>0</v>
      </c>
      <c r="AF173" s="5">
        <v>0</v>
      </c>
      <c r="AG173" s="5">
        <v>1</v>
      </c>
      <c r="AH173" s="5">
        <v>0</v>
      </c>
      <c r="AI173" s="5">
        <v>1</v>
      </c>
      <c r="AJ173" s="5">
        <v>2</v>
      </c>
      <c r="AK173" s="1" t="s">
        <v>81</v>
      </c>
      <c r="AL173" s="6">
        <v>7</v>
      </c>
      <c r="AM173" s="6">
        <v>16</v>
      </c>
      <c r="AN173" s="1">
        <v>3</v>
      </c>
      <c r="AO173" s="1">
        <v>9</v>
      </c>
      <c r="AP173" s="1">
        <v>33</v>
      </c>
      <c r="AQ173" s="1">
        <v>67</v>
      </c>
      <c r="AR173" s="1" t="s">
        <v>389</v>
      </c>
      <c r="AS173" s="1" t="s">
        <v>390</v>
      </c>
      <c r="AT173" s="1" t="s">
        <v>165</v>
      </c>
      <c r="AU173" s="1" t="s">
        <v>84</v>
      </c>
      <c r="AV173" s="1" t="s">
        <v>85</v>
      </c>
      <c r="AW173" s="1" t="s">
        <v>354</v>
      </c>
      <c r="AX173" s="1"/>
    </row>
    <row r="174" spans="1:50" ht="15" customHeight="1">
      <c r="A174" s="1">
        <v>2014</v>
      </c>
      <c r="B174" s="1" t="s">
        <v>350</v>
      </c>
      <c r="C174" s="1" t="s">
        <v>430</v>
      </c>
      <c r="D174" s="1" t="s">
        <v>72</v>
      </c>
      <c r="E174" s="1" t="s">
        <v>156</v>
      </c>
      <c r="F174" s="4">
        <v>41816</v>
      </c>
      <c r="G174" s="1" t="s">
        <v>356</v>
      </c>
      <c r="H174" s="1" t="s">
        <v>135</v>
      </c>
      <c r="I174" s="1" t="s">
        <v>151</v>
      </c>
      <c r="J174" s="5">
        <v>2</v>
      </c>
      <c r="K174" s="5">
        <v>1</v>
      </c>
      <c r="L174" s="1" t="s">
        <v>117</v>
      </c>
      <c r="M174" s="1" t="s">
        <v>78</v>
      </c>
      <c r="N174" s="1" t="s">
        <v>135</v>
      </c>
      <c r="O174" s="1" t="s">
        <v>135</v>
      </c>
      <c r="P174" s="1" t="s">
        <v>31</v>
      </c>
      <c r="Q174" s="2" t="b">
        <v>0</v>
      </c>
      <c r="R174" s="2" t="b">
        <v>0</v>
      </c>
      <c r="S174" s="1" t="s">
        <v>79</v>
      </c>
      <c r="T174" s="5">
        <v>7</v>
      </c>
      <c r="U174" s="5">
        <v>4</v>
      </c>
      <c r="V174" s="5">
        <v>11</v>
      </c>
      <c r="W174" s="1" t="s">
        <v>81</v>
      </c>
      <c r="X174" s="5">
        <v>1</v>
      </c>
      <c r="Y174" s="5">
        <v>3</v>
      </c>
      <c r="Z174" s="5">
        <v>4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4</v>
      </c>
      <c r="AK174" s="1" t="s">
        <v>81</v>
      </c>
      <c r="AL174" s="6">
        <v>16</v>
      </c>
      <c r="AM174" s="6">
        <v>14</v>
      </c>
      <c r="AN174" s="1">
        <v>7</v>
      </c>
      <c r="AO174" s="1">
        <v>3</v>
      </c>
      <c r="AP174" s="1">
        <v>56</v>
      </c>
      <c r="AQ174" s="1">
        <v>44</v>
      </c>
      <c r="AR174" s="1" t="s">
        <v>381</v>
      </c>
      <c r="AS174" s="1" t="s">
        <v>382</v>
      </c>
      <c r="AT174" s="1" t="s">
        <v>165</v>
      </c>
      <c r="AU174" s="1" t="s">
        <v>84</v>
      </c>
      <c r="AV174" s="1" t="s">
        <v>85</v>
      </c>
      <c r="AW174" s="1" t="s">
        <v>354</v>
      </c>
      <c r="AX174" s="1"/>
    </row>
    <row r="175" spans="1:50" ht="15" customHeight="1">
      <c r="A175" s="1">
        <v>2014</v>
      </c>
      <c r="B175" s="1" t="s">
        <v>350</v>
      </c>
      <c r="C175" s="1" t="s">
        <v>431</v>
      </c>
      <c r="D175" s="1" t="s">
        <v>72</v>
      </c>
      <c r="E175" s="1" t="s">
        <v>156</v>
      </c>
      <c r="F175" s="4">
        <v>41816</v>
      </c>
      <c r="G175" s="1" t="s">
        <v>356</v>
      </c>
      <c r="H175" s="1" t="s">
        <v>146</v>
      </c>
      <c r="I175" s="1" t="s">
        <v>75</v>
      </c>
      <c r="J175" s="5">
        <v>0</v>
      </c>
      <c r="K175" s="5">
        <v>1</v>
      </c>
      <c r="L175" s="1" t="s">
        <v>123</v>
      </c>
      <c r="M175" s="1" t="s">
        <v>93</v>
      </c>
      <c r="N175" s="1" t="s">
        <v>75</v>
      </c>
      <c r="O175" s="1" t="s">
        <v>75</v>
      </c>
      <c r="P175" s="1" t="s">
        <v>31</v>
      </c>
      <c r="Q175" s="2" t="b">
        <v>0</v>
      </c>
      <c r="R175" s="2" t="b">
        <v>0</v>
      </c>
      <c r="S175" s="1" t="s">
        <v>79</v>
      </c>
      <c r="T175" s="5">
        <v>2</v>
      </c>
      <c r="U175" s="5">
        <v>3</v>
      </c>
      <c r="V175" s="5">
        <v>5</v>
      </c>
      <c r="W175" s="1" t="s">
        <v>81</v>
      </c>
      <c r="X175" s="5">
        <v>2</v>
      </c>
      <c r="Y175" s="5">
        <v>1</v>
      </c>
      <c r="Z175" s="5">
        <v>3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3</v>
      </c>
      <c r="AK175" s="1" t="s">
        <v>81</v>
      </c>
      <c r="AL175" s="6">
        <v>4</v>
      </c>
      <c r="AM175" s="6">
        <v>9</v>
      </c>
      <c r="AN175" s="1">
        <v>1</v>
      </c>
      <c r="AO175" s="1">
        <v>5</v>
      </c>
      <c r="AP175" s="1">
        <v>37</v>
      </c>
      <c r="AQ175" s="1">
        <v>63</v>
      </c>
      <c r="AR175" s="1" t="s">
        <v>378</v>
      </c>
      <c r="AS175" s="1" t="s">
        <v>379</v>
      </c>
      <c r="AT175" s="1" t="s">
        <v>165</v>
      </c>
      <c r="AU175" s="1" t="s">
        <v>84</v>
      </c>
      <c r="AV175" s="1" t="s">
        <v>85</v>
      </c>
      <c r="AW175" s="1" t="s">
        <v>354</v>
      </c>
      <c r="AX175" s="1"/>
    </row>
    <row r="176" spans="1:50" ht="15" customHeight="1">
      <c r="A176" s="1">
        <v>2014</v>
      </c>
      <c r="B176" s="1" t="s">
        <v>350</v>
      </c>
      <c r="C176" s="1" t="s">
        <v>432</v>
      </c>
      <c r="D176" s="1" t="s">
        <v>72</v>
      </c>
      <c r="E176" s="1" t="s">
        <v>170</v>
      </c>
      <c r="F176" s="4">
        <v>41816</v>
      </c>
      <c r="G176" s="1" t="s">
        <v>221</v>
      </c>
      <c r="H176" s="1" t="s">
        <v>269</v>
      </c>
      <c r="I176" s="1" t="s">
        <v>400</v>
      </c>
      <c r="J176" s="5">
        <v>1</v>
      </c>
      <c r="K176" s="5">
        <v>1</v>
      </c>
      <c r="L176" s="1" t="s">
        <v>190</v>
      </c>
      <c r="M176" s="1" t="s">
        <v>108</v>
      </c>
      <c r="N176" s="1" t="s">
        <v>109</v>
      </c>
      <c r="O176" s="1"/>
      <c r="P176" s="1" t="s">
        <v>110</v>
      </c>
      <c r="Q176" s="2" t="b">
        <v>0</v>
      </c>
      <c r="R176" s="2" t="b">
        <v>0</v>
      </c>
      <c r="S176" s="1" t="s">
        <v>79</v>
      </c>
      <c r="T176" s="5">
        <v>3</v>
      </c>
      <c r="U176" s="5">
        <v>4</v>
      </c>
      <c r="V176" s="5">
        <v>7</v>
      </c>
      <c r="W176" s="1" t="s">
        <v>81</v>
      </c>
      <c r="X176" s="5">
        <v>3</v>
      </c>
      <c r="Y176" s="5">
        <v>2</v>
      </c>
      <c r="Z176" s="5">
        <v>5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5</v>
      </c>
      <c r="AK176" s="1" t="s">
        <v>81</v>
      </c>
      <c r="AL176" s="6">
        <v>8</v>
      </c>
      <c r="AM176" s="6">
        <v>9</v>
      </c>
      <c r="AN176" s="1">
        <v>6</v>
      </c>
      <c r="AO176" s="1">
        <v>4</v>
      </c>
      <c r="AP176" s="1">
        <v>43</v>
      </c>
      <c r="AQ176" s="1">
        <v>57</v>
      </c>
      <c r="AR176" s="1" t="s">
        <v>393</v>
      </c>
      <c r="AS176" s="1" t="s">
        <v>394</v>
      </c>
      <c r="AT176" s="1" t="s">
        <v>165</v>
      </c>
      <c r="AU176" s="1" t="s">
        <v>84</v>
      </c>
      <c r="AV176" s="1" t="s">
        <v>85</v>
      </c>
      <c r="AW176" s="1" t="s">
        <v>354</v>
      </c>
      <c r="AX176" s="1"/>
    </row>
    <row r="177" spans="1:50" ht="15" customHeight="1">
      <c r="A177" s="1">
        <v>2014</v>
      </c>
      <c r="B177" s="1" t="s">
        <v>350</v>
      </c>
      <c r="C177" s="1" t="s">
        <v>433</v>
      </c>
      <c r="D177" s="1" t="s">
        <v>72</v>
      </c>
      <c r="E177" s="1" t="s">
        <v>170</v>
      </c>
      <c r="F177" s="4">
        <v>41816</v>
      </c>
      <c r="G177" s="1" t="s">
        <v>221</v>
      </c>
      <c r="H177" s="1" t="s">
        <v>157</v>
      </c>
      <c r="I177" s="1" t="s">
        <v>397</v>
      </c>
      <c r="J177" s="5">
        <v>0</v>
      </c>
      <c r="K177" s="5">
        <v>1</v>
      </c>
      <c r="L177" s="1" t="s">
        <v>123</v>
      </c>
      <c r="M177" s="1" t="s">
        <v>93</v>
      </c>
      <c r="N177" s="1" t="s">
        <v>397</v>
      </c>
      <c r="O177" s="1" t="s">
        <v>397</v>
      </c>
      <c r="P177" s="1" t="s">
        <v>31</v>
      </c>
      <c r="Q177" s="2" t="b">
        <v>0</v>
      </c>
      <c r="R177" s="2" t="b">
        <v>0</v>
      </c>
      <c r="S177" s="1" t="s">
        <v>79</v>
      </c>
      <c r="T177" s="5">
        <v>7</v>
      </c>
      <c r="U177" s="5">
        <v>4</v>
      </c>
      <c r="V177" s="5">
        <v>11</v>
      </c>
      <c r="W177" s="1" t="s">
        <v>81</v>
      </c>
      <c r="X177" s="5">
        <v>1</v>
      </c>
      <c r="Y177" s="5">
        <v>1</v>
      </c>
      <c r="Z177" s="5">
        <v>2</v>
      </c>
      <c r="AA177" s="5">
        <v>0</v>
      </c>
      <c r="AB177" s="5">
        <v>1</v>
      </c>
      <c r="AC177" s="5">
        <v>1</v>
      </c>
      <c r="AD177" s="5">
        <v>0</v>
      </c>
      <c r="AE177" s="5">
        <v>0</v>
      </c>
      <c r="AF177" s="5">
        <v>0</v>
      </c>
      <c r="AG177" s="5">
        <v>0</v>
      </c>
      <c r="AH177" s="5">
        <v>1</v>
      </c>
      <c r="AI177" s="5">
        <v>1</v>
      </c>
      <c r="AJ177" s="5">
        <v>3</v>
      </c>
      <c r="AK177" s="1" t="s">
        <v>81</v>
      </c>
      <c r="AL177" s="6">
        <v>15</v>
      </c>
      <c r="AM177" s="6">
        <v>12</v>
      </c>
      <c r="AN177" s="1">
        <v>6</v>
      </c>
      <c r="AO177" s="1">
        <v>7</v>
      </c>
      <c r="AP177" s="1">
        <v>54</v>
      </c>
      <c r="AQ177" s="1">
        <v>46</v>
      </c>
      <c r="AR177" s="1" t="s">
        <v>352</v>
      </c>
      <c r="AS177" s="1" t="s">
        <v>353</v>
      </c>
      <c r="AT177" s="1" t="s">
        <v>165</v>
      </c>
      <c r="AU177" s="1" t="s">
        <v>84</v>
      </c>
      <c r="AV177" s="1" t="s">
        <v>85</v>
      </c>
      <c r="AW177" s="1" t="s">
        <v>354</v>
      </c>
      <c r="AX177" s="1"/>
    </row>
    <row r="178" spans="1:50" ht="15" customHeight="1">
      <c r="A178" s="1">
        <v>2014</v>
      </c>
      <c r="B178" s="1" t="s">
        <v>350</v>
      </c>
      <c r="C178" s="1" t="s">
        <v>434</v>
      </c>
      <c r="D178" s="1" t="s">
        <v>219</v>
      </c>
      <c r="E178" s="1" t="s">
        <v>220</v>
      </c>
      <c r="F178" s="4">
        <v>41818</v>
      </c>
      <c r="G178" s="1" t="s">
        <v>356</v>
      </c>
      <c r="H178" s="1" t="s">
        <v>165</v>
      </c>
      <c r="I178" s="1" t="s">
        <v>295</v>
      </c>
      <c r="J178" s="5">
        <v>1</v>
      </c>
      <c r="K178" s="5">
        <v>1</v>
      </c>
      <c r="L178" s="1" t="s">
        <v>190</v>
      </c>
      <c r="M178" s="1" t="s">
        <v>108</v>
      </c>
      <c r="N178" s="1" t="s">
        <v>165</v>
      </c>
      <c r="O178" s="1" t="s">
        <v>165</v>
      </c>
      <c r="P178" s="1" t="s">
        <v>228</v>
      </c>
      <c r="Q178" s="2" t="b">
        <v>1</v>
      </c>
      <c r="R178" s="2" t="b">
        <v>1</v>
      </c>
      <c r="S178" s="1" t="s">
        <v>207</v>
      </c>
      <c r="T178" s="5">
        <v>9</v>
      </c>
      <c r="U178" s="5">
        <v>5</v>
      </c>
      <c r="V178" s="5">
        <v>14</v>
      </c>
      <c r="W178" s="1" t="s">
        <v>81</v>
      </c>
      <c r="X178" s="5">
        <v>4</v>
      </c>
      <c r="Y178" s="5">
        <v>3</v>
      </c>
      <c r="Z178" s="5">
        <v>7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7</v>
      </c>
      <c r="AK178" s="1" t="s">
        <v>81</v>
      </c>
      <c r="AL178" s="6">
        <v>19</v>
      </c>
      <c r="AM178" s="6">
        <v>9</v>
      </c>
      <c r="AN178" s="1">
        <v>7</v>
      </c>
      <c r="AO178" s="1">
        <v>3</v>
      </c>
      <c r="AP178" s="1">
        <v>54</v>
      </c>
      <c r="AQ178" s="1">
        <v>46</v>
      </c>
      <c r="AR178" s="1" t="s">
        <v>368</v>
      </c>
      <c r="AS178" s="1" t="s">
        <v>369</v>
      </c>
      <c r="AT178" s="1" t="s">
        <v>165</v>
      </c>
      <c r="AU178" s="1" t="s">
        <v>84</v>
      </c>
      <c r="AV178" s="1" t="s">
        <v>85</v>
      </c>
      <c r="AW178" s="1" t="s">
        <v>354</v>
      </c>
      <c r="AX178" s="1"/>
    </row>
    <row r="179" spans="1:50" ht="15" customHeight="1">
      <c r="A179" s="1">
        <v>2014</v>
      </c>
      <c r="B179" s="1" t="s">
        <v>350</v>
      </c>
      <c r="C179" s="1" t="s">
        <v>435</v>
      </c>
      <c r="D179" s="1" t="s">
        <v>219</v>
      </c>
      <c r="E179" s="1" t="s">
        <v>220</v>
      </c>
      <c r="F179" s="4">
        <v>41818</v>
      </c>
      <c r="G179" s="1" t="s">
        <v>221</v>
      </c>
      <c r="H179" s="1" t="s">
        <v>367</v>
      </c>
      <c r="I179" s="1" t="s">
        <v>254</v>
      </c>
      <c r="J179" s="5">
        <v>2</v>
      </c>
      <c r="K179" s="5">
        <v>0</v>
      </c>
      <c r="L179" s="1" t="s">
        <v>152</v>
      </c>
      <c r="M179" s="1" t="s">
        <v>78</v>
      </c>
      <c r="N179" s="1" t="s">
        <v>367</v>
      </c>
      <c r="O179" s="1" t="s">
        <v>367</v>
      </c>
      <c r="P179" s="1" t="s">
        <v>31</v>
      </c>
      <c r="Q179" s="2" t="b">
        <v>0</v>
      </c>
      <c r="R179" s="2" t="b">
        <v>0</v>
      </c>
      <c r="S179" s="1" t="s">
        <v>79</v>
      </c>
      <c r="T179" s="5">
        <v>3</v>
      </c>
      <c r="U179" s="5">
        <v>5</v>
      </c>
      <c r="V179" s="5">
        <v>8</v>
      </c>
      <c r="W179" s="1" t="s">
        <v>81</v>
      </c>
      <c r="X179" s="5">
        <v>1</v>
      </c>
      <c r="Y179" s="5">
        <v>2</v>
      </c>
      <c r="Z179" s="5">
        <v>3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3</v>
      </c>
      <c r="AK179" s="1" t="s">
        <v>81</v>
      </c>
      <c r="AL179" s="6">
        <v>8</v>
      </c>
      <c r="AM179" s="6">
        <v>15</v>
      </c>
      <c r="AN179" s="1">
        <v>5</v>
      </c>
      <c r="AO179" s="1">
        <v>7</v>
      </c>
      <c r="AP179" s="1">
        <v>51</v>
      </c>
      <c r="AQ179" s="1">
        <v>49</v>
      </c>
      <c r="AR179" s="1" t="s">
        <v>389</v>
      </c>
      <c r="AS179" s="1" t="s">
        <v>390</v>
      </c>
      <c r="AT179" s="1" t="s">
        <v>165</v>
      </c>
      <c r="AU179" s="1" t="s">
        <v>84</v>
      </c>
      <c r="AV179" s="1" t="s">
        <v>85</v>
      </c>
      <c r="AW179" s="1" t="s">
        <v>354</v>
      </c>
      <c r="AX179" s="1"/>
    </row>
    <row r="180" spans="1:50" ht="15" customHeight="1">
      <c r="A180" s="1">
        <v>2014</v>
      </c>
      <c r="B180" s="1" t="s">
        <v>350</v>
      </c>
      <c r="C180" s="1" t="s">
        <v>436</v>
      </c>
      <c r="D180" s="1" t="s">
        <v>219</v>
      </c>
      <c r="E180" s="1" t="s">
        <v>220</v>
      </c>
      <c r="F180" s="4">
        <v>41819</v>
      </c>
      <c r="G180" s="1" t="s">
        <v>356</v>
      </c>
      <c r="H180" s="1" t="s">
        <v>122</v>
      </c>
      <c r="I180" s="1" t="s">
        <v>128</v>
      </c>
      <c r="J180" s="5">
        <v>2</v>
      </c>
      <c r="K180" s="5">
        <v>1</v>
      </c>
      <c r="L180" s="1" t="s">
        <v>117</v>
      </c>
      <c r="M180" s="1" t="s">
        <v>78</v>
      </c>
      <c r="N180" s="1" t="s">
        <v>122</v>
      </c>
      <c r="O180" s="1" t="s">
        <v>122</v>
      </c>
      <c r="P180" s="1" t="s">
        <v>31</v>
      </c>
      <c r="Q180" s="2" t="b">
        <v>0</v>
      </c>
      <c r="R180" s="2" t="b">
        <v>0</v>
      </c>
      <c r="S180" s="1" t="s">
        <v>79</v>
      </c>
      <c r="T180" s="5">
        <v>10</v>
      </c>
      <c r="U180" s="5">
        <v>2</v>
      </c>
      <c r="V180" s="5">
        <v>12</v>
      </c>
      <c r="W180" s="1" t="s">
        <v>81</v>
      </c>
      <c r="X180" s="5">
        <v>0</v>
      </c>
      <c r="Y180" s="5">
        <v>3</v>
      </c>
      <c r="Z180" s="5">
        <v>3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3</v>
      </c>
      <c r="AK180" s="1" t="s">
        <v>81</v>
      </c>
      <c r="AL180" s="6">
        <v>11</v>
      </c>
      <c r="AM180" s="6">
        <v>11</v>
      </c>
      <c r="AN180" s="1">
        <v>4</v>
      </c>
      <c r="AO180" s="1">
        <v>5</v>
      </c>
      <c r="AP180" s="1">
        <v>58</v>
      </c>
      <c r="AQ180" s="1">
        <v>42</v>
      </c>
      <c r="AR180" s="1" t="s">
        <v>371</v>
      </c>
      <c r="AS180" s="1" t="s">
        <v>372</v>
      </c>
      <c r="AT180" s="1" t="s">
        <v>165</v>
      </c>
      <c r="AU180" s="1" t="s">
        <v>84</v>
      </c>
      <c r="AV180" s="1" t="s">
        <v>85</v>
      </c>
      <c r="AW180" s="1" t="s">
        <v>354</v>
      </c>
      <c r="AX180" s="1"/>
    </row>
    <row r="181" spans="1:50" ht="15" customHeight="1">
      <c r="A181" s="1">
        <v>2014</v>
      </c>
      <c r="B181" s="1" t="s">
        <v>350</v>
      </c>
      <c r="C181" s="1" t="s">
        <v>437</v>
      </c>
      <c r="D181" s="1" t="s">
        <v>219</v>
      </c>
      <c r="E181" s="1" t="s">
        <v>220</v>
      </c>
      <c r="F181" s="4">
        <v>41819</v>
      </c>
      <c r="G181" s="1" t="s">
        <v>221</v>
      </c>
      <c r="H181" s="1" t="s">
        <v>76</v>
      </c>
      <c r="I181" s="1" t="s">
        <v>259</v>
      </c>
      <c r="J181" s="5">
        <v>1</v>
      </c>
      <c r="K181" s="5">
        <v>1</v>
      </c>
      <c r="L181" s="1" t="s">
        <v>190</v>
      </c>
      <c r="M181" s="1" t="s">
        <v>108</v>
      </c>
      <c r="N181" s="1" t="s">
        <v>76</v>
      </c>
      <c r="O181" s="1" t="s">
        <v>76</v>
      </c>
      <c r="P181" s="1" t="s">
        <v>228</v>
      </c>
      <c r="Q181" s="2" t="b">
        <v>1</v>
      </c>
      <c r="R181" s="2" t="b">
        <v>1</v>
      </c>
      <c r="S181" s="1" t="s">
        <v>245</v>
      </c>
      <c r="T181" s="5">
        <v>3</v>
      </c>
      <c r="U181" s="5">
        <v>11</v>
      </c>
      <c r="V181" s="5">
        <v>14</v>
      </c>
      <c r="W181" s="1" t="s">
        <v>81</v>
      </c>
      <c r="X181" s="5">
        <v>5</v>
      </c>
      <c r="Y181" s="5">
        <v>2</v>
      </c>
      <c r="Z181" s="5">
        <v>7</v>
      </c>
      <c r="AA181" s="5">
        <v>0</v>
      </c>
      <c r="AB181" s="5">
        <v>0</v>
      </c>
      <c r="AC181" s="5">
        <v>0</v>
      </c>
      <c r="AD181" s="5">
        <v>1</v>
      </c>
      <c r="AE181" s="5">
        <v>0</v>
      </c>
      <c r="AF181" s="5">
        <v>1</v>
      </c>
      <c r="AG181" s="5">
        <v>1</v>
      </c>
      <c r="AH181" s="5">
        <v>0</v>
      </c>
      <c r="AI181" s="5">
        <v>1</v>
      </c>
      <c r="AJ181" s="5">
        <v>8</v>
      </c>
      <c r="AK181" s="1" t="s">
        <v>81</v>
      </c>
      <c r="AL181" s="6">
        <v>5</v>
      </c>
      <c r="AM181" s="6">
        <v>21</v>
      </c>
      <c r="AN181" s="1">
        <v>1</v>
      </c>
      <c r="AO181" s="1">
        <v>8</v>
      </c>
      <c r="AP181" s="1">
        <v>47</v>
      </c>
      <c r="AQ181" s="1">
        <v>53</v>
      </c>
      <c r="AR181" s="1" t="s">
        <v>378</v>
      </c>
      <c r="AS181" s="1" t="s">
        <v>379</v>
      </c>
      <c r="AT181" s="1" t="s">
        <v>165</v>
      </c>
      <c r="AU181" s="1" t="s">
        <v>84</v>
      </c>
      <c r="AV181" s="1" t="s">
        <v>85</v>
      </c>
      <c r="AW181" s="1" t="s">
        <v>354</v>
      </c>
      <c r="AX181" s="1"/>
    </row>
    <row r="182" spans="1:50" ht="15" customHeight="1">
      <c r="A182" s="1">
        <v>2014</v>
      </c>
      <c r="B182" s="1" t="s">
        <v>350</v>
      </c>
      <c r="C182" s="1" t="s">
        <v>438</v>
      </c>
      <c r="D182" s="1" t="s">
        <v>219</v>
      </c>
      <c r="E182" s="1" t="s">
        <v>220</v>
      </c>
      <c r="F182" s="4">
        <v>41820</v>
      </c>
      <c r="G182" s="1" t="s">
        <v>356</v>
      </c>
      <c r="H182" s="1" t="s">
        <v>160</v>
      </c>
      <c r="I182" s="1" t="s">
        <v>263</v>
      </c>
      <c r="J182" s="5">
        <v>2</v>
      </c>
      <c r="K182" s="5">
        <v>0</v>
      </c>
      <c r="L182" s="1" t="s">
        <v>152</v>
      </c>
      <c r="M182" s="1" t="s">
        <v>78</v>
      </c>
      <c r="N182" s="1" t="s">
        <v>160</v>
      </c>
      <c r="O182" s="1" t="s">
        <v>160</v>
      </c>
      <c r="P182" s="1" t="s">
        <v>31</v>
      </c>
      <c r="Q182" s="2" t="b">
        <v>0</v>
      </c>
      <c r="R182" s="2" t="b">
        <v>0</v>
      </c>
      <c r="S182" s="1" t="s">
        <v>79</v>
      </c>
      <c r="T182" s="5">
        <v>12</v>
      </c>
      <c r="U182" s="5">
        <v>9</v>
      </c>
      <c r="V182" s="5">
        <v>21</v>
      </c>
      <c r="W182" s="1" t="s">
        <v>81</v>
      </c>
      <c r="X182" s="5">
        <v>1</v>
      </c>
      <c r="Y182" s="5">
        <v>0</v>
      </c>
      <c r="Z182" s="5">
        <v>1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1</v>
      </c>
      <c r="AK182" s="1" t="s">
        <v>81</v>
      </c>
      <c r="AL182" s="6">
        <v>11</v>
      </c>
      <c r="AM182" s="6">
        <v>4</v>
      </c>
      <c r="AN182" s="1">
        <v>5</v>
      </c>
      <c r="AO182" s="1">
        <v>2</v>
      </c>
      <c r="AP182" s="1">
        <v>52</v>
      </c>
      <c r="AQ182" s="1">
        <v>48</v>
      </c>
      <c r="AR182" s="1" t="s">
        <v>381</v>
      </c>
      <c r="AS182" s="1" t="s">
        <v>382</v>
      </c>
      <c r="AT182" s="1" t="s">
        <v>165</v>
      </c>
      <c r="AU182" s="1" t="s">
        <v>84</v>
      </c>
      <c r="AV182" s="1" t="s">
        <v>85</v>
      </c>
      <c r="AW182" s="1" t="s">
        <v>354</v>
      </c>
      <c r="AX182" s="1"/>
    </row>
    <row r="183" spans="1:50" ht="15" customHeight="1">
      <c r="A183" s="1">
        <v>2014</v>
      </c>
      <c r="B183" s="1" t="s">
        <v>350</v>
      </c>
      <c r="C183" s="1" t="s">
        <v>439</v>
      </c>
      <c r="D183" s="1" t="s">
        <v>219</v>
      </c>
      <c r="E183" s="1" t="s">
        <v>220</v>
      </c>
      <c r="F183" s="4">
        <v>41820</v>
      </c>
      <c r="G183" s="1" t="s">
        <v>221</v>
      </c>
      <c r="H183" s="1" t="s">
        <v>75</v>
      </c>
      <c r="I183" s="1" t="s">
        <v>269</v>
      </c>
      <c r="J183" s="5">
        <v>2</v>
      </c>
      <c r="K183" s="5">
        <v>1</v>
      </c>
      <c r="L183" s="1" t="s">
        <v>117</v>
      </c>
      <c r="M183" s="1" t="s">
        <v>78</v>
      </c>
      <c r="N183" s="1" t="s">
        <v>75</v>
      </c>
      <c r="O183" s="1" t="s">
        <v>75</v>
      </c>
      <c r="P183" s="1" t="s">
        <v>223</v>
      </c>
      <c r="Q183" s="2" t="b">
        <v>1</v>
      </c>
      <c r="R183" s="2" t="b">
        <v>0</v>
      </c>
      <c r="S183" s="1" t="s">
        <v>79</v>
      </c>
      <c r="T183" s="5">
        <v>10</v>
      </c>
      <c r="U183" s="5">
        <v>4</v>
      </c>
      <c r="V183" s="5">
        <v>14</v>
      </c>
      <c r="W183" s="1" t="s">
        <v>81</v>
      </c>
      <c r="X183" s="5">
        <v>1</v>
      </c>
      <c r="Y183" s="5">
        <v>1</v>
      </c>
      <c r="Z183" s="5">
        <v>2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2</v>
      </c>
      <c r="AK183" s="1" t="s">
        <v>81</v>
      </c>
      <c r="AL183" s="6">
        <v>23</v>
      </c>
      <c r="AM183" s="6">
        <v>10</v>
      </c>
      <c r="AN183" s="1">
        <v>14</v>
      </c>
      <c r="AO183" s="1">
        <v>3</v>
      </c>
      <c r="AP183" s="1">
        <v>60</v>
      </c>
      <c r="AQ183" s="1">
        <v>40</v>
      </c>
      <c r="AR183" s="1" t="s">
        <v>384</v>
      </c>
      <c r="AS183" s="1" t="s">
        <v>385</v>
      </c>
      <c r="AT183" s="1" t="s">
        <v>165</v>
      </c>
      <c r="AU183" s="1" t="s">
        <v>84</v>
      </c>
      <c r="AV183" s="1" t="s">
        <v>85</v>
      </c>
      <c r="AW183" s="1" t="s">
        <v>354</v>
      </c>
      <c r="AX183" s="1"/>
    </row>
    <row r="184" spans="1:50" ht="15" customHeight="1">
      <c r="A184" s="1">
        <v>2014</v>
      </c>
      <c r="B184" s="1" t="s">
        <v>350</v>
      </c>
      <c r="C184" s="1" t="s">
        <v>440</v>
      </c>
      <c r="D184" s="1" t="s">
        <v>219</v>
      </c>
      <c r="E184" s="1" t="s">
        <v>220</v>
      </c>
      <c r="F184" s="4">
        <v>41821</v>
      </c>
      <c r="G184" s="1" t="s">
        <v>356</v>
      </c>
      <c r="H184" s="1" t="s">
        <v>115</v>
      </c>
      <c r="I184" s="1" t="s">
        <v>161</v>
      </c>
      <c r="J184" s="5">
        <v>1</v>
      </c>
      <c r="K184" s="5">
        <v>0</v>
      </c>
      <c r="L184" s="1" t="s">
        <v>101</v>
      </c>
      <c r="M184" s="1" t="s">
        <v>78</v>
      </c>
      <c r="N184" s="1" t="s">
        <v>115</v>
      </c>
      <c r="O184" s="1" t="s">
        <v>115</v>
      </c>
      <c r="P184" s="1" t="s">
        <v>223</v>
      </c>
      <c r="Q184" s="2" t="b">
        <v>1</v>
      </c>
      <c r="R184" s="2" t="b">
        <v>0</v>
      </c>
      <c r="S184" s="1" t="s">
        <v>79</v>
      </c>
      <c r="T184" s="5">
        <v>13</v>
      </c>
      <c r="U184" s="5">
        <v>5</v>
      </c>
      <c r="V184" s="5">
        <v>18</v>
      </c>
      <c r="W184" s="1" t="s">
        <v>81</v>
      </c>
      <c r="X184" s="5">
        <v>3</v>
      </c>
      <c r="Y184" s="5">
        <v>2</v>
      </c>
      <c r="Z184" s="5">
        <v>5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5</v>
      </c>
      <c r="AK184" s="1" t="s">
        <v>81</v>
      </c>
      <c r="AL184" s="6">
        <v>20</v>
      </c>
      <c r="AM184" s="6">
        <v>11</v>
      </c>
      <c r="AN184" s="1">
        <v>9</v>
      </c>
      <c r="AO184" s="1">
        <v>4</v>
      </c>
      <c r="AP184" s="1">
        <v>60</v>
      </c>
      <c r="AQ184" s="1">
        <v>40</v>
      </c>
      <c r="AR184" s="1" t="s">
        <v>352</v>
      </c>
      <c r="AS184" s="1" t="s">
        <v>353</v>
      </c>
      <c r="AT184" s="1" t="s">
        <v>165</v>
      </c>
      <c r="AU184" s="1" t="s">
        <v>84</v>
      </c>
      <c r="AV184" s="1" t="s">
        <v>85</v>
      </c>
      <c r="AW184" s="1" t="s">
        <v>354</v>
      </c>
      <c r="AX184" s="1"/>
    </row>
    <row r="185" spans="1:50" ht="15" customHeight="1">
      <c r="A185" s="1">
        <v>2014</v>
      </c>
      <c r="B185" s="1" t="s">
        <v>350</v>
      </c>
      <c r="C185" s="1" t="s">
        <v>441</v>
      </c>
      <c r="D185" s="1" t="s">
        <v>219</v>
      </c>
      <c r="E185" s="1" t="s">
        <v>220</v>
      </c>
      <c r="F185" s="4">
        <v>41821</v>
      </c>
      <c r="G185" s="1" t="s">
        <v>221</v>
      </c>
      <c r="H185" s="1" t="s">
        <v>397</v>
      </c>
      <c r="I185" s="1" t="s">
        <v>146</v>
      </c>
      <c r="J185" s="5">
        <v>2</v>
      </c>
      <c r="K185" s="5">
        <v>1</v>
      </c>
      <c r="L185" s="1" t="s">
        <v>117</v>
      </c>
      <c r="M185" s="1" t="s">
        <v>78</v>
      </c>
      <c r="N185" s="1" t="s">
        <v>397</v>
      </c>
      <c r="O185" s="1" t="s">
        <v>397</v>
      </c>
      <c r="P185" s="1" t="s">
        <v>223</v>
      </c>
      <c r="Q185" s="2" t="b">
        <v>1</v>
      </c>
      <c r="R185" s="2" t="b">
        <v>0</v>
      </c>
      <c r="S185" s="1" t="s">
        <v>79</v>
      </c>
      <c r="T185" s="5">
        <v>19</v>
      </c>
      <c r="U185" s="5">
        <v>4</v>
      </c>
      <c r="V185" s="5">
        <v>23</v>
      </c>
      <c r="W185" s="1" t="s">
        <v>81</v>
      </c>
      <c r="X185" s="5">
        <v>1</v>
      </c>
      <c r="Y185" s="5">
        <v>1</v>
      </c>
      <c r="Z185" s="5">
        <v>2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2</v>
      </c>
      <c r="AK185" s="1" t="s">
        <v>81</v>
      </c>
      <c r="AL185" s="6">
        <v>32</v>
      </c>
      <c r="AM185" s="6">
        <v>12</v>
      </c>
      <c r="AN185" s="1">
        <v>18</v>
      </c>
      <c r="AO185" s="1">
        <v>5</v>
      </c>
      <c r="AP185" s="1">
        <v>49</v>
      </c>
      <c r="AQ185" s="1">
        <v>51</v>
      </c>
      <c r="AR185" s="1" t="s">
        <v>361</v>
      </c>
      <c r="AS185" s="1" t="s">
        <v>362</v>
      </c>
      <c r="AT185" s="1" t="s">
        <v>165</v>
      </c>
      <c r="AU185" s="1" t="s">
        <v>84</v>
      </c>
      <c r="AV185" s="1" t="s">
        <v>85</v>
      </c>
      <c r="AW185" s="1" t="s">
        <v>354</v>
      </c>
      <c r="AX185" s="1"/>
    </row>
    <row r="186" spans="1:50" ht="15" customHeight="1">
      <c r="A186" s="1">
        <v>2014</v>
      </c>
      <c r="B186" s="1" t="s">
        <v>350</v>
      </c>
      <c r="C186" s="1" t="s">
        <v>442</v>
      </c>
      <c r="D186" s="1" t="s">
        <v>233</v>
      </c>
      <c r="E186" s="1" t="s">
        <v>220</v>
      </c>
      <c r="F186" s="4">
        <v>41824</v>
      </c>
      <c r="G186" s="1" t="s">
        <v>356</v>
      </c>
      <c r="H186" s="1" t="s">
        <v>160</v>
      </c>
      <c r="I186" s="1" t="s">
        <v>75</v>
      </c>
      <c r="J186" s="5">
        <v>0</v>
      </c>
      <c r="K186" s="5">
        <v>1</v>
      </c>
      <c r="L186" s="1" t="s">
        <v>123</v>
      </c>
      <c r="M186" s="1" t="s">
        <v>93</v>
      </c>
      <c r="N186" s="1" t="s">
        <v>75</v>
      </c>
      <c r="O186" s="1" t="s">
        <v>75</v>
      </c>
      <c r="P186" s="1" t="s">
        <v>31</v>
      </c>
      <c r="Q186" s="2" t="b">
        <v>0</v>
      </c>
      <c r="R186" s="2" t="b">
        <v>0</v>
      </c>
      <c r="S186" s="1" t="s">
        <v>79</v>
      </c>
      <c r="T186" s="5">
        <v>5</v>
      </c>
      <c r="U186" s="5">
        <v>3</v>
      </c>
      <c r="V186" s="5">
        <v>8</v>
      </c>
      <c r="W186" s="1" t="s">
        <v>81</v>
      </c>
      <c r="X186" s="5">
        <v>0</v>
      </c>
      <c r="Y186" s="5">
        <v>2</v>
      </c>
      <c r="Z186" s="5">
        <v>2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2</v>
      </c>
      <c r="AK186" s="1" t="s">
        <v>81</v>
      </c>
      <c r="AL186" s="6">
        <v>12</v>
      </c>
      <c r="AM186" s="6">
        <v>5</v>
      </c>
      <c r="AN186" s="1">
        <v>7</v>
      </c>
      <c r="AO186" s="1">
        <v>3</v>
      </c>
      <c r="AP186" s="1">
        <v>50</v>
      </c>
      <c r="AQ186" s="1">
        <v>50</v>
      </c>
      <c r="AR186" s="1" t="s">
        <v>389</v>
      </c>
      <c r="AS186" s="1" t="s">
        <v>390</v>
      </c>
      <c r="AT186" s="1" t="s">
        <v>165</v>
      </c>
      <c r="AU186" s="1" t="s">
        <v>84</v>
      </c>
      <c r="AV186" s="1" t="s">
        <v>85</v>
      </c>
      <c r="AW186" s="1" t="s">
        <v>354</v>
      </c>
      <c r="AX186" s="1"/>
    </row>
    <row r="187" spans="1:50" ht="15" customHeight="1">
      <c r="A187" s="1">
        <v>2014</v>
      </c>
      <c r="B187" s="1" t="s">
        <v>350</v>
      </c>
      <c r="C187" s="1" t="s">
        <v>443</v>
      </c>
      <c r="D187" s="1" t="s">
        <v>233</v>
      </c>
      <c r="E187" s="1" t="s">
        <v>220</v>
      </c>
      <c r="F187" s="4">
        <v>41824</v>
      </c>
      <c r="G187" s="1" t="s">
        <v>221</v>
      </c>
      <c r="H187" s="1" t="s">
        <v>165</v>
      </c>
      <c r="I187" s="1" t="s">
        <v>367</v>
      </c>
      <c r="J187" s="5">
        <v>2</v>
      </c>
      <c r="K187" s="5">
        <v>1</v>
      </c>
      <c r="L187" s="1" t="s">
        <v>117</v>
      </c>
      <c r="M187" s="1" t="s">
        <v>78</v>
      </c>
      <c r="N187" s="1" t="s">
        <v>165</v>
      </c>
      <c r="O187" s="1" t="s">
        <v>165</v>
      </c>
      <c r="P187" s="1" t="s">
        <v>31</v>
      </c>
      <c r="Q187" s="2" t="b">
        <v>0</v>
      </c>
      <c r="R187" s="2" t="b">
        <v>0</v>
      </c>
      <c r="S187" s="1" t="s">
        <v>79</v>
      </c>
      <c r="T187" s="5">
        <v>4</v>
      </c>
      <c r="U187" s="5">
        <v>6</v>
      </c>
      <c r="V187" s="5">
        <v>10</v>
      </c>
      <c r="W187" s="1" t="s">
        <v>81</v>
      </c>
      <c r="X187" s="5">
        <v>2</v>
      </c>
      <c r="Y187" s="5">
        <v>2</v>
      </c>
      <c r="Z187" s="5">
        <v>4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4</v>
      </c>
      <c r="AK187" s="1" t="s">
        <v>81</v>
      </c>
      <c r="AL187" s="6">
        <v>11</v>
      </c>
      <c r="AM187" s="6">
        <v>8</v>
      </c>
      <c r="AN187" s="1">
        <v>4</v>
      </c>
      <c r="AO187" s="1">
        <v>3</v>
      </c>
      <c r="AP187" s="1">
        <v>45</v>
      </c>
      <c r="AQ187" s="1">
        <v>55</v>
      </c>
      <c r="AR187" s="1" t="s">
        <v>371</v>
      </c>
      <c r="AS187" s="1" t="s">
        <v>372</v>
      </c>
      <c r="AT187" s="1" t="s">
        <v>165</v>
      </c>
      <c r="AU187" s="1" t="s">
        <v>84</v>
      </c>
      <c r="AV187" s="1" t="s">
        <v>85</v>
      </c>
      <c r="AW187" s="1" t="s">
        <v>354</v>
      </c>
      <c r="AX187" s="1"/>
    </row>
    <row r="188" spans="1:50" ht="15" customHeight="1">
      <c r="A188" s="1">
        <v>2014</v>
      </c>
      <c r="B188" s="1" t="s">
        <v>350</v>
      </c>
      <c r="C188" s="1" t="s">
        <v>444</v>
      </c>
      <c r="D188" s="1" t="s">
        <v>233</v>
      </c>
      <c r="E188" s="1" t="s">
        <v>220</v>
      </c>
      <c r="F188" s="4">
        <v>41825</v>
      </c>
      <c r="G188" s="1" t="s">
        <v>356</v>
      </c>
      <c r="H188" s="1" t="s">
        <v>115</v>
      </c>
      <c r="I188" s="1" t="s">
        <v>397</v>
      </c>
      <c r="J188" s="5">
        <v>1</v>
      </c>
      <c r="K188" s="5">
        <v>0</v>
      </c>
      <c r="L188" s="1" t="s">
        <v>101</v>
      </c>
      <c r="M188" s="1" t="s">
        <v>78</v>
      </c>
      <c r="N188" s="1" t="s">
        <v>115</v>
      </c>
      <c r="O188" s="1" t="s">
        <v>115</v>
      </c>
      <c r="P188" s="1" t="s">
        <v>31</v>
      </c>
      <c r="Q188" s="2" t="b">
        <v>0</v>
      </c>
      <c r="R188" s="2" t="b">
        <v>0</v>
      </c>
      <c r="S188" s="1" t="s">
        <v>79</v>
      </c>
      <c r="T188" s="5">
        <v>3</v>
      </c>
      <c r="U188" s="5">
        <v>4</v>
      </c>
      <c r="V188" s="5">
        <v>7</v>
      </c>
      <c r="W188" s="1" t="s">
        <v>81</v>
      </c>
      <c r="X188" s="5">
        <v>1</v>
      </c>
      <c r="Y188" s="5">
        <v>2</v>
      </c>
      <c r="Z188" s="5">
        <v>3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3</v>
      </c>
      <c r="AK188" s="1" t="s">
        <v>81</v>
      </c>
      <c r="AL188" s="6">
        <v>4</v>
      </c>
      <c r="AM188" s="6">
        <v>10</v>
      </c>
      <c r="AN188" s="1">
        <v>1</v>
      </c>
      <c r="AO188" s="1">
        <v>2</v>
      </c>
      <c r="AP188" s="1">
        <v>47</v>
      </c>
      <c r="AQ188" s="1">
        <v>53</v>
      </c>
      <c r="AR188" s="1" t="s">
        <v>381</v>
      </c>
      <c r="AS188" s="1" t="s">
        <v>382</v>
      </c>
      <c r="AT188" s="1" t="s">
        <v>165</v>
      </c>
      <c r="AU188" s="1" t="s">
        <v>84</v>
      </c>
      <c r="AV188" s="1" t="s">
        <v>85</v>
      </c>
      <c r="AW188" s="1" t="s">
        <v>354</v>
      </c>
      <c r="AX188" s="1"/>
    </row>
    <row r="189" spans="1:50" ht="15" customHeight="1">
      <c r="A189" s="1">
        <v>2014</v>
      </c>
      <c r="B189" s="1" t="s">
        <v>350</v>
      </c>
      <c r="C189" s="1" t="s">
        <v>445</v>
      </c>
      <c r="D189" s="1" t="s">
        <v>233</v>
      </c>
      <c r="E189" s="1" t="s">
        <v>220</v>
      </c>
      <c r="F189" s="4">
        <v>41825</v>
      </c>
      <c r="G189" s="1" t="s">
        <v>221</v>
      </c>
      <c r="H189" s="1" t="s">
        <v>122</v>
      </c>
      <c r="I189" s="1" t="s">
        <v>76</v>
      </c>
      <c r="J189" s="5">
        <v>0</v>
      </c>
      <c r="K189" s="5">
        <v>0</v>
      </c>
      <c r="L189" s="1" t="s">
        <v>107</v>
      </c>
      <c r="M189" s="1" t="s">
        <v>108</v>
      </c>
      <c r="N189" s="1" t="s">
        <v>122</v>
      </c>
      <c r="O189" s="1" t="s">
        <v>122</v>
      </c>
      <c r="P189" s="1" t="s">
        <v>228</v>
      </c>
      <c r="Q189" s="2" t="b">
        <v>1</v>
      </c>
      <c r="R189" s="2" t="b">
        <v>1</v>
      </c>
      <c r="S189" s="1" t="s">
        <v>446</v>
      </c>
      <c r="T189" s="5">
        <v>11</v>
      </c>
      <c r="U189" s="5">
        <v>1</v>
      </c>
      <c r="V189" s="5">
        <v>12</v>
      </c>
      <c r="W189" s="1" t="s">
        <v>81</v>
      </c>
      <c r="X189" s="5">
        <v>2</v>
      </c>
      <c r="Y189" s="5">
        <v>4</v>
      </c>
      <c r="Z189" s="5">
        <v>6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6</v>
      </c>
      <c r="AK189" s="1" t="s">
        <v>81</v>
      </c>
      <c r="AL189" s="6">
        <v>11</v>
      </c>
      <c r="AM189" s="6">
        <v>4</v>
      </c>
      <c r="AN189" s="1">
        <v>8</v>
      </c>
      <c r="AO189" s="1">
        <v>1</v>
      </c>
      <c r="AP189" s="1">
        <v>72</v>
      </c>
      <c r="AQ189" s="1">
        <v>28</v>
      </c>
      <c r="AR189" s="1" t="s">
        <v>361</v>
      </c>
      <c r="AS189" s="1" t="s">
        <v>362</v>
      </c>
      <c r="AT189" s="1" t="s">
        <v>165</v>
      </c>
      <c r="AU189" s="1" t="s">
        <v>84</v>
      </c>
      <c r="AV189" s="1" t="s">
        <v>85</v>
      </c>
      <c r="AW189" s="1" t="s">
        <v>354</v>
      </c>
      <c r="AX189" s="1"/>
    </row>
    <row r="190" spans="1:50" ht="15" customHeight="1">
      <c r="A190" s="1">
        <v>2014</v>
      </c>
      <c r="B190" s="1" t="s">
        <v>350</v>
      </c>
      <c r="C190" s="1" t="s">
        <v>447</v>
      </c>
      <c r="D190" s="1" t="s">
        <v>238</v>
      </c>
      <c r="E190" s="1" t="s">
        <v>220</v>
      </c>
      <c r="F190" s="4">
        <v>41828</v>
      </c>
      <c r="G190" s="1" t="s">
        <v>221</v>
      </c>
      <c r="H190" s="1" t="s">
        <v>165</v>
      </c>
      <c r="I190" s="1" t="s">
        <v>75</v>
      </c>
      <c r="J190" s="5">
        <v>1</v>
      </c>
      <c r="K190" s="5">
        <v>7</v>
      </c>
      <c r="L190" s="1" t="s">
        <v>448</v>
      </c>
      <c r="M190" s="1" t="s">
        <v>93</v>
      </c>
      <c r="N190" s="1" t="s">
        <v>75</v>
      </c>
      <c r="O190" s="1" t="s">
        <v>75</v>
      </c>
      <c r="P190" s="1" t="s">
        <v>31</v>
      </c>
      <c r="Q190" s="2" t="b">
        <v>0</v>
      </c>
      <c r="R190" s="2" t="b">
        <v>0</v>
      </c>
      <c r="S190" s="1" t="s">
        <v>79</v>
      </c>
      <c r="T190" s="5">
        <v>7</v>
      </c>
      <c r="U190" s="5">
        <v>5</v>
      </c>
      <c r="V190" s="5">
        <v>12</v>
      </c>
      <c r="W190" s="1" t="s">
        <v>81</v>
      </c>
      <c r="X190" s="5">
        <v>1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1</v>
      </c>
      <c r="AK190" s="1" t="s">
        <v>81</v>
      </c>
      <c r="AL190" s="6">
        <v>13</v>
      </c>
      <c r="AM190" s="6">
        <v>6</v>
      </c>
      <c r="AN190" s="1">
        <v>8</v>
      </c>
      <c r="AO190" s="1">
        <v>3</v>
      </c>
      <c r="AP190" s="1">
        <v>56</v>
      </c>
      <c r="AQ190" s="1">
        <v>44</v>
      </c>
      <c r="AR190" s="1" t="s">
        <v>368</v>
      </c>
      <c r="AS190" s="1" t="s">
        <v>369</v>
      </c>
      <c r="AT190" s="1" t="s">
        <v>165</v>
      </c>
      <c r="AU190" s="1" t="s">
        <v>84</v>
      </c>
      <c r="AV190" s="1" t="s">
        <v>85</v>
      </c>
      <c r="AW190" s="1" t="s">
        <v>354</v>
      </c>
      <c r="AX190" s="1"/>
    </row>
    <row r="191" spans="1:50" ht="15" customHeight="1">
      <c r="A191" s="1">
        <v>2014</v>
      </c>
      <c r="B191" s="1" t="s">
        <v>350</v>
      </c>
      <c r="C191" s="1" t="s">
        <v>449</v>
      </c>
      <c r="D191" s="1" t="s">
        <v>238</v>
      </c>
      <c r="E191" s="1" t="s">
        <v>220</v>
      </c>
      <c r="F191" s="4">
        <v>41829</v>
      </c>
      <c r="G191" s="1" t="s">
        <v>221</v>
      </c>
      <c r="H191" s="1" t="s">
        <v>122</v>
      </c>
      <c r="I191" s="1" t="s">
        <v>115</v>
      </c>
      <c r="J191" s="5">
        <v>0</v>
      </c>
      <c r="K191" s="5">
        <v>0</v>
      </c>
      <c r="L191" s="1" t="s">
        <v>107</v>
      </c>
      <c r="M191" s="1" t="s">
        <v>108</v>
      </c>
      <c r="N191" s="1" t="s">
        <v>115</v>
      </c>
      <c r="O191" s="1" t="s">
        <v>115</v>
      </c>
      <c r="P191" s="1" t="s">
        <v>228</v>
      </c>
      <c r="Q191" s="2" t="b">
        <v>1</v>
      </c>
      <c r="R191" s="2" t="b">
        <v>1</v>
      </c>
      <c r="S191" s="1" t="s">
        <v>416</v>
      </c>
      <c r="T191" s="5">
        <v>4</v>
      </c>
      <c r="U191" s="5">
        <v>4</v>
      </c>
      <c r="V191" s="5">
        <v>8</v>
      </c>
      <c r="W191" s="1" t="s">
        <v>81</v>
      </c>
      <c r="X191" s="5">
        <v>2</v>
      </c>
      <c r="Y191" s="5">
        <v>1</v>
      </c>
      <c r="Z191" s="5">
        <v>3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3</v>
      </c>
      <c r="AK191" s="1" t="s">
        <v>81</v>
      </c>
      <c r="AL191" s="6">
        <v>6</v>
      </c>
      <c r="AM191" s="6">
        <v>7</v>
      </c>
      <c r="AN191" s="1">
        <v>2</v>
      </c>
      <c r="AO191" s="1">
        <v>4</v>
      </c>
      <c r="AP191" s="1">
        <v>52</v>
      </c>
      <c r="AQ191" s="1">
        <v>48</v>
      </c>
      <c r="AR191" s="1" t="s">
        <v>352</v>
      </c>
      <c r="AS191" s="1" t="s">
        <v>353</v>
      </c>
      <c r="AT191" s="1" t="s">
        <v>165</v>
      </c>
      <c r="AU191" s="1" t="s">
        <v>84</v>
      </c>
      <c r="AV191" s="1" t="s">
        <v>85</v>
      </c>
      <c r="AW191" s="1" t="s">
        <v>354</v>
      </c>
      <c r="AX191" s="1"/>
    </row>
    <row r="192" spans="1:50" ht="15" customHeight="1">
      <c r="A192" s="1">
        <v>2014</v>
      </c>
      <c r="B192" s="1" t="s">
        <v>350</v>
      </c>
      <c r="C192" s="1" t="s">
        <v>450</v>
      </c>
      <c r="D192" s="1" t="s">
        <v>241</v>
      </c>
      <c r="E192" s="1" t="s">
        <v>220</v>
      </c>
      <c r="F192" s="4">
        <v>41832</v>
      </c>
      <c r="G192" s="1" t="s">
        <v>221</v>
      </c>
      <c r="H192" s="1" t="s">
        <v>165</v>
      </c>
      <c r="I192" s="1" t="s">
        <v>122</v>
      </c>
      <c r="J192" s="5">
        <v>0</v>
      </c>
      <c r="K192" s="5">
        <v>3</v>
      </c>
      <c r="L192" s="1" t="s">
        <v>148</v>
      </c>
      <c r="M192" s="1" t="s">
        <v>93</v>
      </c>
      <c r="N192" s="1" t="s">
        <v>122</v>
      </c>
      <c r="O192" s="1" t="s">
        <v>122</v>
      </c>
      <c r="P192" s="1" t="s">
        <v>31</v>
      </c>
      <c r="Q192" s="2" t="b">
        <v>0</v>
      </c>
      <c r="R192" s="2" t="b">
        <v>0</v>
      </c>
      <c r="S192" s="1" t="s">
        <v>79</v>
      </c>
      <c r="T192" s="5">
        <v>4</v>
      </c>
      <c r="U192" s="5">
        <v>1</v>
      </c>
      <c r="V192" s="5">
        <v>5</v>
      </c>
      <c r="W192" s="1" t="s">
        <v>81</v>
      </c>
      <c r="X192" s="5">
        <v>3</v>
      </c>
      <c r="Y192" s="5">
        <v>2</v>
      </c>
      <c r="Z192" s="5">
        <v>5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5</v>
      </c>
      <c r="AK192" s="1" t="s">
        <v>81</v>
      </c>
      <c r="AL192" s="6">
        <v>9</v>
      </c>
      <c r="AM192" s="6">
        <v>5</v>
      </c>
      <c r="AN192" s="1">
        <v>2</v>
      </c>
      <c r="AO192" s="1">
        <v>2</v>
      </c>
      <c r="AP192" s="1">
        <v>56</v>
      </c>
      <c r="AQ192" s="1">
        <v>44</v>
      </c>
      <c r="AR192" s="1" t="s">
        <v>381</v>
      </c>
      <c r="AS192" s="1" t="s">
        <v>382</v>
      </c>
      <c r="AT192" s="1" t="s">
        <v>165</v>
      </c>
      <c r="AU192" s="1" t="s">
        <v>84</v>
      </c>
      <c r="AV192" s="1" t="s">
        <v>85</v>
      </c>
      <c r="AW192" s="1" t="s">
        <v>354</v>
      </c>
      <c r="AX192" s="1"/>
    </row>
    <row r="193" spans="1:50" ht="15" customHeight="1">
      <c r="A193" s="1">
        <v>2014</v>
      </c>
      <c r="B193" s="1" t="s">
        <v>350</v>
      </c>
      <c r="C193" s="1" t="s">
        <v>451</v>
      </c>
      <c r="D193" s="1" t="s">
        <v>243</v>
      </c>
      <c r="E193" s="1" t="s">
        <v>220</v>
      </c>
      <c r="F193" s="4">
        <v>41833</v>
      </c>
      <c r="G193" s="1" t="s">
        <v>199</v>
      </c>
      <c r="H193" s="1" t="s">
        <v>75</v>
      </c>
      <c r="I193" s="1" t="s">
        <v>115</v>
      </c>
      <c r="J193" s="5">
        <v>1</v>
      </c>
      <c r="K193" s="5">
        <v>0</v>
      </c>
      <c r="L193" s="1" t="s">
        <v>101</v>
      </c>
      <c r="M193" s="1" t="s">
        <v>78</v>
      </c>
      <c r="N193" s="1" t="s">
        <v>75</v>
      </c>
      <c r="O193" s="1" t="s">
        <v>75</v>
      </c>
      <c r="P193" s="1" t="s">
        <v>223</v>
      </c>
      <c r="Q193" s="2" t="b">
        <v>1</v>
      </c>
      <c r="R193" s="2" t="b">
        <v>0</v>
      </c>
      <c r="S193" s="1" t="s">
        <v>79</v>
      </c>
      <c r="T193" s="5">
        <v>5</v>
      </c>
      <c r="U193" s="5">
        <v>3</v>
      </c>
      <c r="V193" s="5">
        <v>8</v>
      </c>
      <c r="W193" s="1" t="s">
        <v>81</v>
      </c>
      <c r="X193" s="5">
        <v>2</v>
      </c>
      <c r="Y193" s="5">
        <v>2</v>
      </c>
      <c r="Z193" s="5">
        <v>4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4</v>
      </c>
      <c r="AK193" s="1" t="s">
        <v>81</v>
      </c>
      <c r="AL193" s="6">
        <v>7</v>
      </c>
      <c r="AM193" s="6">
        <v>8</v>
      </c>
      <c r="AN193" s="1">
        <v>5</v>
      </c>
      <c r="AO193" s="1">
        <v>0</v>
      </c>
      <c r="AP193" s="1">
        <v>60</v>
      </c>
      <c r="AQ193" s="1">
        <v>40</v>
      </c>
      <c r="AR193" s="1" t="s">
        <v>389</v>
      </c>
      <c r="AS193" s="1" t="s">
        <v>390</v>
      </c>
      <c r="AT193" s="1" t="s">
        <v>165</v>
      </c>
      <c r="AU193" s="1" t="s">
        <v>84</v>
      </c>
      <c r="AV193" s="1" t="s">
        <v>85</v>
      </c>
      <c r="AW193" s="1" t="s">
        <v>354</v>
      </c>
      <c r="AX193" s="1"/>
    </row>
    <row r="194" spans="1:50" ht="15" customHeight="1">
      <c r="A194" s="1">
        <v>2018</v>
      </c>
      <c r="B194" s="1" t="s">
        <v>452</v>
      </c>
      <c r="C194" s="1" t="s">
        <v>453</v>
      </c>
      <c r="D194" s="1" t="s">
        <v>72</v>
      </c>
      <c r="E194" s="1" t="s">
        <v>73</v>
      </c>
      <c r="F194" s="4">
        <v>43265</v>
      </c>
      <c r="G194" s="1" t="s">
        <v>74</v>
      </c>
      <c r="H194" s="1" t="s">
        <v>400</v>
      </c>
      <c r="I194" s="1" t="s">
        <v>176</v>
      </c>
      <c r="J194" s="5">
        <v>5</v>
      </c>
      <c r="K194" s="5">
        <v>0</v>
      </c>
      <c r="L194" s="1" t="s">
        <v>454</v>
      </c>
      <c r="M194" s="1" t="s">
        <v>78</v>
      </c>
      <c r="N194" s="1" t="s">
        <v>400</v>
      </c>
      <c r="O194" s="1" t="s">
        <v>400</v>
      </c>
      <c r="P194" s="1" t="s">
        <v>31</v>
      </c>
      <c r="Q194" s="2" t="b">
        <v>0</v>
      </c>
      <c r="R194" s="2" t="b">
        <v>0</v>
      </c>
      <c r="S194" s="1" t="s">
        <v>79</v>
      </c>
      <c r="T194" s="5">
        <v>6</v>
      </c>
      <c r="U194" s="5">
        <v>2</v>
      </c>
      <c r="V194" s="5">
        <v>8</v>
      </c>
      <c r="W194" s="1" t="s">
        <v>81</v>
      </c>
      <c r="X194" s="5">
        <v>1</v>
      </c>
      <c r="Y194" s="5">
        <v>1</v>
      </c>
      <c r="Z194" s="5">
        <v>2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2</v>
      </c>
      <c r="AK194" s="1" t="s">
        <v>81</v>
      </c>
      <c r="AL194" s="6">
        <v>10</v>
      </c>
      <c r="AM194" s="6">
        <v>3</v>
      </c>
      <c r="AN194" s="1">
        <v>7</v>
      </c>
      <c r="AO194" s="1">
        <v>0</v>
      </c>
      <c r="AP194" s="1">
        <v>38</v>
      </c>
      <c r="AQ194" s="1">
        <v>62</v>
      </c>
      <c r="AR194" s="1" t="s">
        <v>455</v>
      </c>
      <c r="AS194" s="1" t="s">
        <v>456</v>
      </c>
      <c r="AT194" s="1" t="s">
        <v>400</v>
      </c>
      <c r="AU194" s="1" t="s">
        <v>84</v>
      </c>
      <c r="AV194" s="1" t="s">
        <v>85</v>
      </c>
      <c r="AW194" s="1" t="s">
        <v>457</v>
      </c>
      <c r="AX194" s="1"/>
    </row>
    <row r="195" spans="1:50" ht="15" customHeight="1">
      <c r="A195" s="1">
        <v>2018</v>
      </c>
      <c r="B195" s="1" t="s">
        <v>452</v>
      </c>
      <c r="C195" s="1" t="s">
        <v>458</v>
      </c>
      <c r="D195" s="1" t="s">
        <v>72</v>
      </c>
      <c r="E195" s="1" t="s">
        <v>73</v>
      </c>
      <c r="F195" s="4">
        <v>43266</v>
      </c>
      <c r="G195" s="1" t="s">
        <v>221</v>
      </c>
      <c r="H195" s="1" t="s">
        <v>459</v>
      </c>
      <c r="I195" s="1" t="s">
        <v>254</v>
      </c>
      <c r="J195" s="5">
        <v>0</v>
      </c>
      <c r="K195" s="5">
        <v>1</v>
      </c>
      <c r="L195" s="1" t="s">
        <v>123</v>
      </c>
      <c r="M195" s="1" t="s">
        <v>93</v>
      </c>
      <c r="N195" s="1" t="s">
        <v>254</v>
      </c>
      <c r="O195" s="1" t="s">
        <v>254</v>
      </c>
      <c r="P195" s="1" t="s">
        <v>31</v>
      </c>
      <c r="Q195" s="2" t="b">
        <v>0</v>
      </c>
      <c r="R195" s="2" t="b">
        <v>0</v>
      </c>
      <c r="S195" s="1" t="s">
        <v>79</v>
      </c>
      <c r="T195" s="5">
        <v>0</v>
      </c>
      <c r="U195" s="5">
        <v>5</v>
      </c>
      <c r="V195" s="5">
        <v>5</v>
      </c>
      <c r="W195" s="1" t="s">
        <v>81</v>
      </c>
      <c r="X195" s="5">
        <v>2</v>
      </c>
      <c r="Y195" s="5">
        <v>0</v>
      </c>
      <c r="Z195" s="5">
        <v>2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2</v>
      </c>
      <c r="AK195" s="1" t="s">
        <v>81</v>
      </c>
      <c r="AL195" s="6">
        <v>6</v>
      </c>
      <c r="AM195" s="6">
        <v>11</v>
      </c>
      <c r="AN195" s="1">
        <v>3</v>
      </c>
      <c r="AO195" s="1">
        <v>5</v>
      </c>
      <c r="AP195" s="1">
        <v>41</v>
      </c>
      <c r="AQ195" s="1">
        <v>59</v>
      </c>
      <c r="AR195" s="1" t="s">
        <v>460</v>
      </c>
      <c r="AS195" s="1" t="s">
        <v>461</v>
      </c>
      <c r="AT195" s="1" t="s">
        <v>400</v>
      </c>
      <c r="AU195" s="1" t="s">
        <v>84</v>
      </c>
      <c r="AV195" s="1" t="s">
        <v>85</v>
      </c>
      <c r="AW195" s="1" t="s">
        <v>457</v>
      </c>
      <c r="AX195" s="1"/>
    </row>
    <row r="196" spans="1:50" ht="15" customHeight="1">
      <c r="A196" s="1">
        <v>2018</v>
      </c>
      <c r="B196" s="1" t="s">
        <v>452</v>
      </c>
      <c r="C196" s="1" t="s">
        <v>462</v>
      </c>
      <c r="D196" s="1" t="s">
        <v>72</v>
      </c>
      <c r="E196" s="1" t="s">
        <v>97</v>
      </c>
      <c r="F196" s="4">
        <v>43266</v>
      </c>
      <c r="G196" s="1" t="s">
        <v>74</v>
      </c>
      <c r="H196" s="1" t="s">
        <v>463</v>
      </c>
      <c r="I196" s="1" t="s">
        <v>129</v>
      </c>
      <c r="J196" s="5">
        <v>0</v>
      </c>
      <c r="K196" s="5">
        <v>1</v>
      </c>
      <c r="L196" s="1" t="s">
        <v>123</v>
      </c>
      <c r="M196" s="1" t="s">
        <v>93</v>
      </c>
      <c r="N196" s="1" t="s">
        <v>129</v>
      </c>
      <c r="O196" s="1" t="s">
        <v>129</v>
      </c>
      <c r="P196" s="1" t="s">
        <v>31</v>
      </c>
      <c r="Q196" s="2" t="b">
        <v>0</v>
      </c>
      <c r="R196" s="2" t="b">
        <v>0</v>
      </c>
      <c r="S196" s="1" t="s">
        <v>79</v>
      </c>
      <c r="T196" s="5">
        <v>5</v>
      </c>
      <c r="U196" s="5">
        <v>2</v>
      </c>
      <c r="V196" s="5">
        <v>7</v>
      </c>
      <c r="W196" s="1" t="s">
        <v>81</v>
      </c>
      <c r="X196" s="5">
        <v>1</v>
      </c>
      <c r="Y196" s="5">
        <v>3</v>
      </c>
      <c r="Z196" s="5">
        <v>4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4</v>
      </c>
      <c r="AK196" s="1" t="s">
        <v>81</v>
      </c>
      <c r="AL196" s="6">
        <v>9</v>
      </c>
      <c r="AM196" s="6">
        <v>8</v>
      </c>
      <c r="AN196" s="1">
        <v>3</v>
      </c>
      <c r="AO196" s="1">
        <v>2</v>
      </c>
      <c r="AP196" s="1">
        <v>67</v>
      </c>
      <c r="AQ196" s="1">
        <v>33</v>
      </c>
      <c r="AR196" s="1" t="s">
        <v>464</v>
      </c>
      <c r="AS196" s="1" t="s">
        <v>465</v>
      </c>
      <c r="AT196" s="1" t="s">
        <v>400</v>
      </c>
      <c r="AU196" s="1" t="s">
        <v>84</v>
      </c>
      <c r="AV196" s="1" t="s">
        <v>85</v>
      </c>
      <c r="AW196" s="1" t="s">
        <v>457</v>
      </c>
      <c r="AX196" s="1"/>
    </row>
    <row r="197" spans="1:50" ht="15" customHeight="1">
      <c r="A197" s="1">
        <v>2018</v>
      </c>
      <c r="B197" s="1" t="s">
        <v>452</v>
      </c>
      <c r="C197" s="1" t="s">
        <v>466</v>
      </c>
      <c r="D197" s="1" t="s">
        <v>72</v>
      </c>
      <c r="E197" s="1" t="s">
        <v>97</v>
      </c>
      <c r="F197" s="4">
        <v>43266</v>
      </c>
      <c r="G197" s="1" t="s">
        <v>89</v>
      </c>
      <c r="H197" s="1" t="s">
        <v>135</v>
      </c>
      <c r="I197" s="1" t="s">
        <v>171</v>
      </c>
      <c r="J197" s="5">
        <v>3</v>
      </c>
      <c r="K197" s="5">
        <v>3</v>
      </c>
      <c r="L197" s="1" t="s">
        <v>467</v>
      </c>
      <c r="M197" s="1" t="s">
        <v>108</v>
      </c>
      <c r="N197" s="1" t="s">
        <v>109</v>
      </c>
      <c r="O197" s="1"/>
      <c r="P197" s="1" t="s">
        <v>110</v>
      </c>
      <c r="Q197" s="2" t="b">
        <v>0</v>
      </c>
      <c r="R197" s="2" t="b">
        <v>0</v>
      </c>
      <c r="S197" s="1" t="s">
        <v>79</v>
      </c>
      <c r="T197" s="5">
        <v>4</v>
      </c>
      <c r="U197" s="5">
        <v>5</v>
      </c>
      <c r="V197" s="5">
        <v>9</v>
      </c>
      <c r="W197" s="1" t="s">
        <v>81</v>
      </c>
      <c r="X197" s="5">
        <v>1</v>
      </c>
      <c r="Y197" s="5">
        <v>1</v>
      </c>
      <c r="Z197" s="5">
        <v>2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2</v>
      </c>
      <c r="AK197" s="1" t="s">
        <v>81</v>
      </c>
      <c r="AL197" s="6">
        <v>6</v>
      </c>
      <c r="AM197" s="6">
        <v>11</v>
      </c>
      <c r="AN197" s="1">
        <v>3</v>
      </c>
      <c r="AO197" s="1">
        <v>6</v>
      </c>
      <c r="AP197" s="1">
        <v>33</v>
      </c>
      <c r="AQ197" s="1">
        <v>67</v>
      </c>
      <c r="AR197" s="1" t="s">
        <v>468</v>
      </c>
      <c r="AS197" s="1" t="s">
        <v>469</v>
      </c>
      <c r="AT197" s="1" t="s">
        <v>400</v>
      </c>
      <c r="AU197" s="1" t="s">
        <v>84</v>
      </c>
      <c r="AV197" s="1" t="s">
        <v>85</v>
      </c>
      <c r="AW197" s="1" t="s">
        <v>457</v>
      </c>
      <c r="AX197" s="1"/>
    </row>
    <row r="198" spans="1:50" ht="15" customHeight="1">
      <c r="A198" s="1">
        <v>2018</v>
      </c>
      <c r="B198" s="1" t="s">
        <v>452</v>
      </c>
      <c r="C198" s="1" t="s">
        <v>470</v>
      </c>
      <c r="D198" s="1" t="s">
        <v>72</v>
      </c>
      <c r="E198" s="1" t="s">
        <v>114</v>
      </c>
      <c r="F198" s="4">
        <v>43267</v>
      </c>
      <c r="G198" s="1" t="s">
        <v>356</v>
      </c>
      <c r="H198" s="1" t="s">
        <v>160</v>
      </c>
      <c r="I198" s="1" t="s">
        <v>140</v>
      </c>
      <c r="J198" s="5">
        <v>2</v>
      </c>
      <c r="K198" s="5">
        <v>1</v>
      </c>
      <c r="L198" s="1" t="s">
        <v>117</v>
      </c>
      <c r="M198" s="1" t="s">
        <v>78</v>
      </c>
      <c r="N198" s="1" t="s">
        <v>160</v>
      </c>
      <c r="O198" s="1" t="s">
        <v>160</v>
      </c>
      <c r="P198" s="1" t="s">
        <v>31</v>
      </c>
      <c r="Q198" s="2" t="b">
        <v>0</v>
      </c>
      <c r="R198" s="2" t="b">
        <v>0</v>
      </c>
      <c r="S198" s="1" t="s">
        <v>79</v>
      </c>
      <c r="T198" s="5">
        <v>5</v>
      </c>
      <c r="U198" s="5">
        <v>1</v>
      </c>
      <c r="V198" s="5">
        <v>6</v>
      </c>
      <c r="W198" s="1" t="s">
        <v>81</v>
      </c>
      <c r="X198" s="5">
        <v>1</v>
      </c>
      <c r="Y198" s="5">
        <v>3</v>
      </c>
      <c r="Z198" s="5">
        <v>4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4</v>
      </c>
      <c r="AK198" s="1" t="s">
        <v>81</v>
      </c>
      <c r="AL198" s="6">
        <v>10</v>
      </c>
      <c r="AM198" s="6">
        <v>4</v>
      </c>
      <c r="AN198" s="1">
        <v>5</v>
      </c>
      <c r="AO198" s="1">
        <v>1</v>
      </c>
      <c r="AP198" s="1">
        <v>55</v>
      </c>
      <c r="AQ198" s="1">
        <v>45</v>
      </c>
      <c r="AR198" s="1" t="s">
        <v>471</v>
      </c>
      <c r="AS198" s="1" t="s">
        <v>472</v>
      </c>
      <c r="AT198" s="1" t="s">
        <v>400</v>
      </c>
      <c r="AU198" s="1" t="s">
        <v>84</v>
      </c>
      <c r="AV198" s="1" t="s">
        <v>85</v>
      </c>
      <c r="AW198" s="1" t="s">
        <v>457</v>
      </c>
      <c r="AX198" s="1"/>
    </row>
    <row r="199" spans="1:50" ht="15" customHeight="1">
      <c r="A199" s="1">
        <v>2018</v>
      </c>
      <c r="B199" s="1" t="s">
        <v>452</v>
      </c>
      <c r="C199" s="1" t="s">
        <v>473</v>
      </c>
      <c r="D199" s="1" t="s">
        <v>72</v>
      </c>
      <c r="E199" s="1" t="s">
        <v>127</v>
      </c>
      <c r="F199" s="4">
        <v>43267</v>
      </c>
      <c r="G199" s="1" t="s">
        <v>199</v>
      </c>
      <c r="H199" s="1" t="s">
        <v>115</v>
      </c>
      <c r="I199" s="1" t="s">
        <v>474</v>
      </c>
      <c r="J199" s="5">
        <v>1</v>
      </c>
      <c r="K199" s="5">
        <v>1</v>
      </c>
      <c r="L199" s="1" t="s">
        <v>190</v>
      </c>
      <c r="M199" s="1" t="s">
        <v>108</v>
      </c>
      <c r="N199" s="1" t="s">
        <v>109</v>
      </c>
      <c r="O199" s="1"/>
      <c r="P199" s="1" t="s">
        <v>110</v>
      </c>
      <c r="Q199" s="2" t="b">
        <v>0</v>
      </c>
      <c r="R199" s="2" t="b">
        <v>0</v>
      </c>
      <c r="S199" s="1" t="s">
        <v>79</v>
      </c>
      <c r="T199" s="5">
        <v>10</v>
      </c>
      <c r="U199" s="5">
        <v>2</v>
      </c>
      <c r="V199" s="5">
        <v>12</v>
      </c>
      <c r="W199" s="1" t="s">
        <v>81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1" t="s">
        <v>81</v>
      </c>
      <c r="AL199" s="6">
        <v>17</v>
      </c>
      <c r="AM199" s="6">
        <v>7</v>
      </c>
      <c r="AN199" s="1">
        <v>7</v>
      </c>
      <c r="AO199" s="1">
        <v>2</v>
      </c>
      <c r="AP199" s="1">
        <v>77</v>
      </c>
      <c r="AQ199" s="1">
        <v>23</v>
      </c>
      <c r="AR199" s="1" t="s">
        <v>475</v>
      </c>
      <c r="AS199" s="1" t="s">
        <v>456</v>
      </c>
      <c r="AT199" s="1" t="s">
        <v>400</v>
      </c>
      <c r="AU199" s="1" t="s">
        <v>84</v>
      </c>
      <c r="AV199" s="1" t="s">
        <v>85</v>
      </c>
      <c r="AW199" s="1" t="s">
        <v>457</v>
      </c>
      <c r="AX199" s="1"/>
    </row>
    <row r="200" spans="1:50" ht="15" customHeight="1">
      <c r="A200" s="1">
        <v>2018</v>
      </c>
      <c r="B200" s="1" t="s">
        <v>452</v>
      </c>
      <c r="C200" s="1" t="s">
        <v>476</v>
      </c>
      <c r="D200" s="1" t="s">
        <v>72</v>
      </c>
      <c r="E200" s="1" t="s">
        <v>114</v>
      </c>
      <c r="F200" s="4">
        <v>43267</v>
      </c>
      <c r="G200" s="1" t="s">
        <v>387</v>
      </c>
      <c r="H200" s="1" t="s">
        <v>477</v>
      </c>
      <c r="I200" s="1" t="s">
        <v>281</v>
      </c>
      <c r="J200" s="5">
        <v>0</v>
      </c>
      <c r="K200" s="5">
        <v>1</v>
      </c>
      <c r="L200" s="1" t="s">
        <v>123</v>
      </c>
      <c r="M200" s="1" t="s">
        <v>93</v>
      </c>
      <c r="N200" s="1" t="s">
        <v>281</v>
      </c>
      <c r="O200" s="1" t="s">
        <v>281</v>
      </c>
      <c r="P200" s="1" t="s">
        <v>31</v>
      </c>
      <c r="Q200" s="2" t="b">
        <v>0</v>
      </c>
      <c r="R200" s="2" t="b">
        <v>0</v>
      </c>
      <c r="S200" s="1" t="s">
        <v>79</v>
      </c>
      <c r="T200" s="5">
        <v>3</v>
      </c>
      <c r="U200" s="5">
        <v>7</v>
      </c>
      <c r="V200" s="5">
        <v>10</v>
      </c>
      <c r="W200" s="1" t="s">
        <v>81</v>
      </c>
      <c r="X200" s="5">
        <v>1</v>
      </c>
      <c r="Y200" s="5">
        <v>2</v>
      </c>
      <c r="Z200" s="5">
        <v>3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3</v>
      </c>
      <c r="AK200" s="1" t="s">
        <v>81</v>
      </c>
      <c r="AL200" s="6">
        <v>15</v>
      </c>
      <c r="AM200" s="6">
        <v>8</v>
      </c>
      <c r="AN200" s="1">
        <v>6</v>
      </c>
      <c r="AO200" s="1">
        <v>3</v>
      </c>
      <c r="AP200" s="1">
        <v>53</v>
      </c>
      <c r="AQ200" s="1">
        <v>47</v>
      </c>
      <c r="AR200" s="1" t="s">
        <v>478</v>
      </c>
      <c r="AS200" s="1" t="s">
        <v>479</v>
      </c>
      <c r="AT200" s="1" t="s">
        <v>400</v>
      </c>
      <c r="AU200" s="1" t="s">
        <v>84</v>
      </c>
      <c r="AV200" s="1" t="s">
        <v>85</v>
      </c>
      <c r="AW200" s="1" t="s">
        <v>457</v>
      </c>
      <c r="AX200" s="1"/>
    </row>
    <row r="201" spans="1:50" ht="15" customHeight="1">
      <c r="A201" s="1">
        <v>2018</v>
      </c>
      <c r="B201" s="1" t="s">
        <v>452</v>
      </c>
      <c r="C201" s="1" t="s">
        <v>480</v>
      </c>
      <c r="D201" s="1" t="s">
        <v>72</v>
      </c>
      <c r="E201" s="1" t="s">
        <v>127</v>
      </c>
      <c r="F201" s="4">
        <v>43267</v>
      </c>
      <c r="G201" s="1" t="s">
        <v>89</v>
      </c>
      <c r="H201" s="1" t="s">
        <v>166</v>
      </c>
      <c r="I201" s="1" t="s">
        <v>263</v>
      </c>
      <c r="J201" s="5">
        <v>2</v>
      </c>
      <c r="K201" s="5">
        <v>0</v>
      </c>
      <c r="L201" s="1" t="s">
        <v>152</v>
      </c>
      <c r="M201" s="1" t="s">
        <v>78</v>
      </c>
      <c r="N201" s="1" t="s">
        <v>166</v>
      </c>
      <c r="O201" s="1" t="s">
        <v>166</v>
      </c>
      <c r="P201" s="1" t="s">
        <v>31</v>
      </c>
      <c r="Q201" s="2" t="b">
        <v>0</v>
      </c>
      <c r="R201" s="2" t="b">
        <v>0</v>
      </c>
      <c r="S201" s="1" t="s">
        <v>79</v>
      </c>
      <c r="T201" s="5">
        <v>6</v>
      </c>
      <c r="U201" s="5">
        <v>5</v>
      </c>
      <c r="V201" s="5">
        <v>11</v>
      </c>
      <c r="W201" s="1" t="s">
        <v>81</v>
      </c>
      <c r="X201" s="5">
        <v>2</v>
      </c>
      <c r="Y201" s="5">
        <v>1</v>
      </c>
      <c r="Z201" s="5">
        <v>3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3</v>
      </c>
      <c r="AK201" s="1" t="s">
        <v>81</v>
      </c>
      <c r="AL201" s="6">
        <v>9</v>
      </c>
      <c r="AM201" s="6">
        <v>9</v>
      </c>
      <c r="AN201" s="1">
        <v>2</v>
      </c>
      <c r="AO201" s="1">
        <v>2</v>
      </c>
      <c r="AP201" s="1">
        <v>54</v>
      </c>
      <c r="AQ201" s="1">
        <v>46</v>
      </c>
      <c r="AR201" s="1" t="s">
        <v>481</v>
      </c>
      <c r="AS201" s="1" t="s">
        <v>482</v>
      </c>
      <c r="AT201" s="1" t="s">
        <v>400</v>
      </c>
      <c r="AU201" s="1" t="s">
        <v>84</v>
      </c>
      <c r="AV201" s="1" t="s">
        <v>85</v>
      </c>
      <c r="AW201" s="1" t="s">
        <v>457</v>
      </c>
      <c r="AX201" s="1"/>
    </row>
    <row r="202" spans="1:50" ht="15" customHeight="1">
      <c r="A202" s="1">
        <v>2018</v>
      </c>
      <c r="B202" s="1" t="s">
        <v>452</v>
      </c>
      <c r="C202" s="1" t="s">
        <v>483</v>
      </c>
      <c r="D202" s="1" t="s">
        <v>72</v>
      </c>
      <c r="E202" s="1" t="s">
        <v>145</v>
      </c>
      <c r="F202" s="4">
        <v>43268</v>
      </c>
      <c r="G202" s="1" t="s">
        <v>199</v>
      </c>
      <c r="H202" s="1" t="s">
        <v>76</v>
      </c>
      <c r="I202" s="1" t="s">
        <v>274</v>
      </c>
      <c r="J202" s="5">
        <v>0</v>
      </c>
      <c r="K202" s="5">
        <v>1</v>
      </c>
      <c r="L202" s="1" t="s">
        <v>123</v>
      </c>
      <c r="M202" s="1" t="s">
        <v>93</v>
      </c>
      <c r="N202" s="1" t="s">
        <v>274</v>
      </c>
      <c r="O202" s="1" t="s">
        <v>274</v>
      </c>
      <c r="P202" s="1" t="s">
        <v>31</v>
      </c>
      <c r="Q202" s="2" t="b">
        <v>0</v>
      </c>
      <c r="R202" s="2" t="b">
        <v>0</v>
      </c>
      <c r="S202" s="1" t="s">
        <v>79</v>
      </c>
      <c r="T202" s="5">
        <v>5</v>
      </c>
      <c r="U202" s="5">
        <v>4</v>
      </c>
      <c r="V202" s="5">
        <v>9</v>
      </c>
      <c r="W202" s="1" t="s">
        <v>81</v>
      </c>
      <c r="X202" s="5">
        <v>2</v>
      </c>
      <c r="Y202" s="5">
        <v>2</v>
      </c>
      <c r="Z202" s="5">
        <v>4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4</v>
      </c>
      <c r="AK202" s="1" t="s">
        <v>81</v>
      </c>
      <c r="AL202" s="6">
        <v>6</v>
      </c>
      <c r="AM202" s="6">
        <v>9</v>
      </c>
      <c r="AN202" s="1">
        <v>3</v>
      </c>
      <c r="AO202" s="1">
        <v>3</v>
      </c>
      <c r="AP202" s="1">
        <v>52</v>
      </c>
      <c r="AQ202" s="1">
        <v>48</v>
      </c>
      <c r="AR202" s="1" t="s">
        <v>484</v>
      </c>
      <c r="AS202" s="1" t="s">
        <v>485</v>
      </c>
      <c r="AT202" s="1" t="s">
        <v>400</v>
      </c>
      <c r="AU202" s="1" t="s">
        <v>84</v>
      </c>
      <c r="AV202" s="1" t="s">
        <v>85</v>
      </c>
      <c r="AW202" s="1" t="s">
        <v>457</v>
      </c>
      <c r="AX202" s="1"/>
    </row>
    <row r="203" spans="1:50" ht="15" customHeight="1">
      <c r="A203" s="1">
        <v>2018</v>
      </c>
      <c r="B203" s="1" t="s">
        <v>452</v>
      </c>
      <c r="C203" s="1" t="s">
        <v>486</v>
      </c>
      <c r="D203" s="1" t="s">
        <v>72</v>
      </c>
      <c r="E203" s="1" t="s">
        <v>139</v>
      </c>
      <c r="F203" s="4">
        <v>43268</v>
      </c>
      <c r="G203" s="1" t="s">
        <v>74</v>
      </c>
      <c r="H203" s="1" t="s">
        <v>75</v>
      </c>
      <c r="I203" s="1" t="s">
        <v>128</v>
      </c>
      <c r="J203" s="5">
        <v>0</v>
      </c>
      <c r="K203" s="5">
        <v>1</v>
      </c>
      <c r="L203" s="1" t="s">
        <v>123</v>
      </c>
      <c r="M203" s="1" t="s">
        <v>93</v>
      </c>
      <c r="N203" s="1" t="s">
        <v>128</v>
      </c>
      <c r="O203" s="1" t="s">
        <v>128</v>
      </c>
      <c r="P203" s="1" t="s">
        <v>31</v>
      </c>
      <c r="Q203" s="2" t="b">
        <v>0</v>
      </c>
      <c r="R203" s="2" t="b">
        <v>0</v>
      </c>
      <c r="S203" s="1" t="s">
        <v>79</v>
      </c>
      <c r="T203" s="5">
        <v>8</v>
      </c>
      <c r="U203" s="5">
        <v>1</v>
      </c>
      <c r="V203" s="5">
        <v>9</v>
      </c>
      <c r="W203" s="1" t="s">
        <v>81</v>
      </c>
      <c r="X203" s="5">
        <v>2</v>
      </c>
      <c r="Y203" s="5">
        <v>2</v>
      </c>
      <c r="Z203" s="5">
        <v>4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4</v>
      </c>
      <c r="AK203" s="1" t="s">
        <v>81</v>
      </c>
      <c r="AL203" s="6">
        <v>17</v>
      </c>
      <c r="AM203" s="6">
        <v>11</v>
      </c>
      <c r="AN203" s="1">
        <v>9</v>
      </c>
      <c r="AO203" s="1">
        <v>4</v>
      </c>
      <c r="AP203" s="1">
        <v>66</v>
      </c>
      <c r="AQ203" s="1">
        <v>34</v>
      </c>
      <c r="AR203" s="1" t="s">
        <v>455</v>
      </c>
      <c r="AS203" s="1" t="s">
        <v>456</v>
      </c>
      <c r="AT203" s="1" t="s">
        <v>400</v>
      </c>
      <c r="AU203" s="1" t="s">
        <v>84</v>
      </c>
      <c r="AV203" s="1" t="s">
        <v>85</v>
      </c>
      <c r="AW203" s="1" t="s">
        <v>457</v>
      </c>
      <c r="AX203" s="1"/>
    </row>
    <row r="204" spans="1:50" ht="15" customHeight="1">
      <c r="A204" s="1">
        <v>2018</v>
      </c>
      <c r="B204" s="1" t="s">
        <v>452</v>
      </c>
      <c r="C204" s="1" t="s">
        <v>487</v>
      </c>
      <c r="D204" s="1" t="s">
        <v>72</v>
      </c>
      <c r="E204" s="1" t="s">
        <v>145</v>
      </c>
      <c r="F204" s="4">
        <v>43268</v>
      </c>
      <c r="G204" s="1" t="s">
        <v>89</v>
      </c>
      <c r="H204" s="1" t="s">
        <v>165</v>
      </c>
      <c r="I204" s="1" t="s">
        <v>161</v>
      </c>
      <c r="J204" s="5">
        <v>1</v>
      </c>
      <c r="K204" s="5">
        <v>1</v>
      </c>
      <c r="L204" s="1" t="s">
        <v>190</v>
      </c>
      <c r="M204" s="1" t="s">
        <v>108</v>
      </c>
      <c r="N204" s="1" t="s">
        <v>109</v>
      </c>
      <c r="O204" s="1"/>
      <c r="P204" s="1" t="s">
        <v>110</v>
      </c>
      <c r="Q204" s="2" t="b">
        <v>0</v>
      </c>
      <c r="R204" s="2" t="b">
        <v>0</v>
      </c>
      <c r="S204" s="1" t="s">
        <v>79</v>
      </c>
      <c r="T204" s="5">
        <v>7</v>
      </c>
      <c r="U204" s="5">
        <v>2</v>
      </c>
      <c r="V204" s="5">
        <v>9</v>
      </c>
      <c r="W204" s="1" t="s">
        <v>81</v>
      </c>
      <c r="X204" s="5">
        <v>1</v>
      </c>
      <c r="Y204" s="5">
        <v>3</v>
      </c>
      <c r="Z204" s="5">
        <v>4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4</v>
      </c>
      <c r="AK204" s="1" t="s">
        <v>81</v>
      </c>
      <c r="AL204" s="6">
        <v>15</v>
      </c>
      <c r="AM204" s="6">
        <v>6</v>
      </c>
      <c r="AN204" s="1">
        <v>5</v>
      </c>
      <c r="AO204" s="1">
        <v>2</v>
      </c>
      <c r="AP204" s="1">
        <v>54</v>
      </c>
      <c r="AQ204" s="1">
        <v>46</v>
      </c>
      <c r="AR204" s="1" t="s">
        <v>488</v>
      </c>
      <c r="AS204" s="1" t="s">
        <v>489</v>
      </c>
      <c r="AT204" s="1" t="s">
        <v>400</v>
      </c>
      <c r="AU204" s="1" t="s">
        <v>84</v>
      </c>
      <c r="AV204" s="1" t="s">
        <v>85</v>
      </c>
      <c r="AW204" s="1" t="s">
        <v>457</v>
      </c>
      <c r="AX204" s="1"/>
    </row>
    <row r="205" spans="1:50" ht="15" customHeight="1">
      <c r="A205" s="1">
        <v>2018</v>
      </c>
      <c r="B205" s="1" t="s">
        <v>452</v>
      </c>
      <c r="C205" s="1" t="s">
        <v>490</v>
      </c>
      <c r="D205" s="1" t="s">
        <v>72</v>
      </c>
      <c r="E205" s="1" t="s">
        <v>139</v>
      </c>
      <c r="F205" s="4">
        <v>43269</v>
      </c>
      <c r="G205" s="1" t="s">
        <v>98</v>
      </c>
      <c r="H205" s="1" t="s">
        <v>106</v>
      </c>
      <c r="I205" s="1" t="s">
        <v>157</v>
      </c>
      <c r="J205" s="5">
        <v>1</v>
      </c>
      <c r="K205" s="5">
        <v>0</v>
      </c>
      <c r="L205" s="1" t="s">
        <v>101</v>
      </c>
      <c r="M205" s="1" t="s">
        <v>78</v>
      </c>
      <c r="N205" s="1" t="s">
        <v>106</v>
      </c>
      <c r="O205" s="1" t="s">
        <v>106</v>
      </c>
      <c r="P205" s="1" t="s">
        <v>31</v>
      </c>
      <c r="Q205" s="2" t="b">
        <v>0</v>
      </c>
      <c r="R205" s="2" t="b">
        <v>0</v>
      </c>
      <c r="S205" s="1" t="s">
        <v>79</v>
      </c>
      <c r="T205" s="5">
        <v>6</v>
      </c>
      <c r="U205" s="5">
        <v>5</v>
      </c>
      <c r="V205" s="5">
        <v>11</v>
      </c>
      <c r="W205" s="1" t="s">
        <v>81</v>
      </c>
      <c r="X205" s="5">
        <v>1</v>
      </c>
      <c r="Y205" s="5">
        <v>2</v>
      </c>
      <c r="Z205" s="5">
        <v>3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3</v>
      </c>
      <c r="AK205" s="1" t="s">
        <v>81</v>
      </c>
      <c r="AL205" s="6">
        <v>9</v>
      </c>
      <c r="AM205" s="6">
        <v>2</v>
      </c>
      <c r="AN205" s="1">
        <v>4</v>
      </c>
      <c r="AO205" s="1">
        <v>0</v>
      </c>
      <c r="AP205" s="1">
        <v>55</v>
      </c>
      <c r="AQ205" s="1">
        <v>45</v>
      </c>
      <c r="AR205" s="1" t="s">
        <v>491</v>
      </c>
      <c r="AS205" s="1" t="s">
        <v>492</v>
      </c>
      <c r="AT205" s="1" t="s">
        <v>400</v>
      </c>
      <c r="AU205" s="1" t="s">
        <v>84</v>
      </c>
      <c r="AV205" s="1" t="s">
        <v>85</v>
      </c>
      <c r="AW205" s="1" t="s">
        <v>457</v>
      </c>
      <c r="AX205" s="1"/>
    </row>
    <row r="206" spans="1:50" ht="15" customHeight="1">
      <c r="A206" s="1">
        <v>2018</v>
      </c>
      <c r="B206" s="1" t="s">
        <v>452</v>
      </c>
      <c r="C206" s="1" t="s">
        <v>493</v>
      </c>
      <c r="D206" s="1" t="s">
        <v>72</v>
      </c>
      <c r="E206" s="1" t="s">
        <v>156</v>
      </c>
      <c r="F206" s="4">
        <v>43269</v>
      </c>
      <c r="G206" s="1" t="s">
        <v>74</v>
      </c>
      <c r="H206" s="1" t="s">
        <v>397</v>
      </c>
      <c r="I206" s="1" t="s">
        <v>494</v>
      </c>
      <c r="J206" s="5">
        <v>3</v>
      </c>
      <c r="K206" s="5">
        <v>0</v>
      </c>
      <c r="L206" s="1" t="s">
        <v>180</v>
      </c>
      <c r="M206" s="1" t="s">
        <v>78</v>
      </c>
      <c r="N206" s="1" t="s">
        <v>397</v>
      </c>
      <c r="O206" s="1" t="s">
        <v>397</v>
      </c>
      <c r="P206" s="1" t="s">
        <v>31</v>
      </c>
      <c r="Q206" s="2" t="b">
        <v>0</v>
      </c>
      <c r="R206" s="2" t="b">
        <v>0</v>
      </c>
      <c r="S206" s="1" t="s">
        <v>79</v>
      </c>
      <c r="T206" s="5">
        <v>9</v>
      </c>
      <c r="U206" s="5">
        <v>3</v>
      </c>
      <c r="V206" s="5">
        <v>12</v>
      </c>
      <c r="W206" s="1" t="s">
        <v>81</v>
      </c>
      <c r="X206" s="5">
        <v>3</v>
      </c>
      <c r="Y206" s="5">
        <v>5</v>
      </c>
      <c r="Z206" s="5">
        <v>8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8</v>
      </c>
      <c r="AK206" s="1" t="s">
        <v>81</v>
      </c>
      <c r="AL206" s="6">
        <v>13</v>
      </c>
      <c r="AM206" s="6">
        <v>6</v>
      </c>
      <c r="AN206" s="1">
        <v>6</v>
      </c>
      <c r="AO206" s="1">
        <v>2</v>
      </c>
      <c r="AP206" s="1">
        <v>61</v>
      </c>
      <c r="AQ206" s="1">
        <v>39</v>
      </c>
      <c r="AR206" s="1" t="s">
        <v>468</v>
      </c>
      <c r="AS206" s="1" t="s">
        <v>469</v>
      </c>
      <c r="AT206" s="1" t="s">
        <v>400</v>
      </c>
      <c r="AU206" s="1" t="s">
        <v>84</v>
      </c>
      <c r="AV206" s="1" t="s">
        <v>85</v>
      </c>
      <c r="AW206" s="1" t="s">
        <v>457</v>
      </c>
      <c r="AX206" s="1"/>
    </row>
    <row r="207" spans="1:50" ht="15" customHeight="1">
      <c r="A207" s="1">
        <v>2018</v>
      </c>
      <c r="B207" s="1" t="s">
        <v>452</v>
      </c>
      <c r="C207" s="1" t="s">
        <v>495</v>
      </c>
      <c r="D207" s="1" t="s">
        <v>72</v>
      </c>
      <c r="E207" s="1" t="s">
        <v>156</v>
      </c>
      <c r="F207" s="4">
        <v>43269</v>
      </c>
      <c r="G207" s="1" t="s">
        <v>89</v>
      </c>
      <c r="H207" s="1" t="s">
        <v>175</v>
      </c>
      <c r="I207" s="1" t="s">
        <v>99</v>
      </c>
      <c r="J207" s="5">
        <v>1</v>
      </c>
      <c r="K207" s="5">
        <v>2</v>
      </c>
      <c r="L207" s="1" t="s">
        <v>200</v>
      </c>
      <c r="M207" s="1" t="s">
        <v>93</v>
      </c>
      <c r="N207" s="1" t="s">
        <v>99</v>
      </c>
      <c r="O207" s="1" t="s">
        <v>99</v>
      </c>
      <c r="P207" s="1" t="s">
        <v>31</v>
      </c>
      <c r="Q207" s="2" t="b">
        <v>0</v>
      </c>
      <c r="R207" s="2" t="b">
        <v>0</v>
      </c>
      <c r="S207" s="1" t="s">
        <v>79</v>
      </c>
      <c r="T207" s="5">
        <v>2</v>
      </c>
      <c r="U207" s="5">
        <v>7</v>
      </c>
      <c r="V207" s="5">
        <v>9</v>
      </c>
      <c r="W207" s="1" t="s">
        <v>81</v>
      </c>
      <c r="X207" s="5">
        <v>0</v>
      </c>
      <c r="Y207" s="5">
        <v>1</v>
      </c>
      <c r="Z207" s="5">
        <v>1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1</v>
      </c>
      <c r="AK207" s="1" t="s">
        <v>81</v>
      </c>
      <c r="AL207" s="6">
        <v>4</v>
      </c>
      <c r="AM207" s="6">
        <v>16</v>
      </c>
      <c r="AN207" s="1">
        <v>1</v>
      </c>
      <c r="AO207" s="1">
        <v>8</v>
      </c>
      <c r="AP207" s="1">
        <v>39</v>
      </c>
      <c r="AQ207" s="1">
        <v>61</v>
      </c>
      <c r="AR207" s="1" t="s">
        <v>496</v>
      </c>
      <c r="AS207" s="1" t="s">
        <v>497</v>
      </c>
      <c r="AT207" s="1" t="s">
        <v>400</v>
      </c>
      <c r="AU207" s="1" t="s">
        <v>84</v>
      </c>
      <c r="AV207" s="1" t="s">
        <v>85</v>
      </c>
      <c r="AW207" s="1" t="s">
        <v>457</v>
      </c>
      <c r="AX207" s="1"/>
    </row>
    <row r="208" spans="1:50" ht="15" customHeight="1">
      <c r="A208" s="1">
        <v>2018</v>
      </c>
      <c r="B208" s="1" t="s">
        <v>452</v>
      </c>
      <c r="C208" s="1" t="s">
        <v>498</v>
      </c>
      <c r="D208" s="1" t="s">
        <v>72</v>
      </c>
      <c r="E208" s="1" t="s">
        <v>170</v>
      </c>
      <c r="F208" s="4">
        <v>43270</v>
      </c>
      <c r="G208" s="1" t="s">
        <v>98</v>
      </c>
      <c r="H208" s="1" t="s">
        <v>367</v>
      </c>
      <c r="I208" s="1" t="s">
        <v>141</v>
      </c>
      <c r="J208" s="5">
        <v>1</v>
      </c>
      <c r="K208" s="5">
        <v>2</v>
      </c>
      <c r="L208" s="1" t="s">
        <v>200</v>
      </c>
      <c r="M208" s="1" t="s">
        <v>93</v>
      </c>
      <c r="N208" s="1" t="s">
        <v>141</v>
      </c>
      <c r="O208" s="1" t="s">
        <v>141</v>
      </c>
      <c r="P208" s="1" t="s">
        <v>31</v>
      </c>
      <c r="Q208" s="2" t="b">
        <v>0</v>
      </c>
      <c r="R208" s="2" t="b">
        <v>0</v>
      </c>
      <c r="S208" s="1" t="s">
        <v>79</v>
      </c>
      <c r="T208" s="5">
        <v>3</v>
      </c>
      <c r="U208" s="5">
        <v>6</v>
      </c>
      <c r="V208" s="5">
        <v>9</v>
      </c>
      <c r="W208" s="1" t="s">
        <v>81</v>
      </c>
      <c r="X208" s="5">
        <v>2</v>
      </c>
      <c r="Y208" s="5">
        <v>1</v>
      </c>
      <c r="Z208" s="5">
        <v>3</v>
      </c>
      <c r="AA208" s="5">
        <v>1</v>
      </c>
      <c r="AB208" s="5">
        <v>0</v>
      </c>
      <c r="AC208" s="5">
        <v>1</v>
      </c>
      <c r="AD208" s="5">
        <v>0</v>
      </c>
      <c r="AE208" s="5">
        <v>0</v>
      </c>
      <c r="AF208" s="5">
        <v>0</v>
      </c>
      <c r="AG208" s="5">
        <v>1</v>
      </c>
      <c r="AH208" s="5">
        <v>0</v>
      </c>
      <c r="AI208" s="5">
        <v>1</v>
      </c>
      <c r="AJ208" s="5">
        <v>4</v>
      </c>
      <c r="AK208" s="1" t="s">
        <v>81</v>
      </c>
      <c r="AL208" s="6">
        <v>4</v>
      </c>
      <c r="AM208" s="6">
        <v>11</v>
      </c>
      <c r="AN208" s="1">
        <v>3</v>
      </c>
      <c r="AO208" s="1">
        <v>6</v>
      </c>
      <c r="AP208" s="1">
        <v>38</v>
      </c>
      <c r="AQ208" s="1">
        <v>62</v>
      </c>
      <c r="AR208" s="1" t="s">
        <v>478</v>
      </c>
      <c r="AS208" s="1" t="s">
        <v>479</v>
      </c>
      <c r="AT208" s="1" t="s">
        <v>400</v>
      </c>
      <c r="AU208" s="1" t="s">
        <v>84</v>
      </c>
      <c r="AV208" s="1" t="s">
        <v>85</v>
      </c>
      <c r="AW208" s="1" t="s">
        <v>457</v>
      </c>
      <c r="AX208" s="1"/>
    </row>
    <row r="209" spans="1:50" ht="15" customHeight="1">
      <c r="A209" s="1">
        <v>2018</v>
      </c>
      <c r="B209" s="1" t="s">
        <v>452</v>
      </c>
      <c r="C209" s="1" t="s">
        <v>499</v>
      </c>
      <c r="D209" s="1" t="s">
        <v>72</v>
      </c>
      <c r="E209" s="1" t="s">
        <v>170</v>
      </c>
      <c r="F209" s="4">
        <v>43270</v>
      </c>
      <c r="G209" s="1" t="s">
        <v>74</v>
      </c>
      <c r="H209" s="1" t="s">
        <v>90</v>
      </c>
      <c r="I209" s="1" t="s">
        <v>500</v>
      </c>
      <c r="J209" s="5">
        <v>1</v>
      </c>
      <c r="K209" s="5">
        <v>2</v>
      </c>
      <c r="L209" s="1" t="s">
        <v>200</v>
      </c>
      <c r="M209" s="1" t="s">
        <v>93</v>
      </c>
      <c r="N209" s="1" t="s">
        <v>500</v>
      </c>
      <c r="O209" s="1" t="s">
        <v>500</v>
      </c>
      <c r="P209" s="1" t="s">
        <v>31</v>
      </c>
      <c r="Q209" s="2" t="b">
        <v>0</v>
      </c>
      <c r="R209" s="2" t="b">
        <v>0</v>
      </c>
      <c r="S209" s="1" t="s">
        <v>79</v>
      </c>
      <c r="T209" s="5">
        <v>3</v>
      </c>
      <c r="U209" s="5">
        <v>3</v>
      </c>
      <c r="V209" s="5">
        <v>6</v>
      </c>
      <c r="W209" s="1" t="s">
        <v>81</v>
      </c>
      <c r="X209" s="5">
        <v>1</v>
      </c>
      <c r="Y209" s="5">
        <v>2</v>
      </c>
      <c r="Z209" s="5">
        <v>3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3</v>
      </c>
      <c r="AK209" s="1" t="s">
        <v>81</v>
      </c>
      <c r="AL209" s="6">
        <v>10</v>
      </c>
      <c r="AM209" s="6">
        <v>6</v>
      </c>
      <c r="AN209" s="1">
        <v>4</v>
      </c>
      <c r="AO209" s="1">
        <v>2</v>
      </c>
      <c r="AP209" s="1">
        <v>61</v>
      </c>
      <c r="AQ209" s="1">
        <v>39</v>
      </c>
      <c r="AR209" s="1" t="s">
        <v>475</v>
      </c>
      <c r="AS209" s="1" t="s">
        <v>456</v>
      </c>
      <c r="AT209" s="1" t="s">
        <v>400</v>
      </c>
      <c r="AU209" s="1" t="s">
        <v>84</v>
      </c>
      <c r="AV209" s="1" t="s">
        <v>85</v>
      </c>
      <c r="AW209" s="1" t="s">
        <v>457</v>
      </c>
      <c r="AX209" s="1"/>
    </row>
    <row r="210" spans="1:50" ht="15" customHeight="1">
      <c r="A210" s="1">
        <v>2018</v>
      </c>
      <c r="B210" s="1" t="s">
        <v>452</v>
      </c>
      <c r="C210" s="1" t="s">
        <v>501</v>
      </c>
      <c r="D210" s="1" t="s">
        <v>72</v>
      </c>
      <c r="E210" s="1" t="s">
        <v>73</v>
      </c>
      <c r="F210" s="4">
        <v>43270</v>
      </c>
      <c r="G210" s="1" t="s">
        <v>89</v>
      </c>
      <c r="H210" s="1" t="s">
        <v>400</v>
      </c>
      <c r="I210" s="1" t="s">
        <v>459</v>
      </c>
      <c r="J210" s="5">
        <v>3</v>
      </c>
      <c r="K210" s="5">
        <v>1</v>
      </c>
      <c r="L210" s="1" t="s">
        <v>130</v>
      </c>
      <c r="M210" s="1" t="s">
        <v>78</v>
      </c>
      <c r="N210" s="1" t="s">
        <v>400</v>
      </c>
      <c r="O210" s="1" t="s">
        <v>400</v>
      </c>
      <c r="P210" s="1" t="s">
        <v>31</v>
      </c>
      <c r="Q210" s="2" t="b">
        <v>0</v>
      </c>
      <c r="R210" s="2" t="b">
        <v>0</v>
      </c>
      <c r="S210" s="1" t="s">
        <v>79</v>
      </c>
      <c r="T210" s="5">
        <v>7</v>
      </c>
      <c r="U210" s="5">
        <v>4</v>
      </c>
      <c r="V210" s="5">
        <v>11</v>
      </c>
      <c r="W210" s="1" t="s">
        <v>81</v>
      </c>
      <c r="X210" s="5">
        <v>1</v>
      </c>
      <c r="Y210" s="5">
        <v>1</v>
      </c>
      <c r="Z210" s="5">
        <v>2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2</v>
      </c>
      <c r="AK210" s="1" t="s">
        <v>81</v>
      </c>
      <c r="AL210" s="6">
        <v>9</v>
      </c>
      <c r="AM210" s="6">
        <v>9</v>
      </c>
      <c r="AN210" s="1">
        <v>3</v>
      </c>
      <c r="AO210" s="1">
        <v>1</v>
      </c>
      <c r="AP210" s="1">
        <v>49</v>
      </c>
      <c r="AQ210" s="1">
        <v>51</v>
      </c>
      <c r="AR210" s="1" t="s">
        <v>464</v>
      </c>
      <c r="AS210" s="1" t="s">
        <v>465</v>
      </c>
      <c r="AT210" s="1" t="s">
        <v>400</v>
      </c>
      <c r="AU210" s="1" t="s">
        <v>84</v>
      </c>
      <c r="AV210" s="1" t="s">
        <v>85</v>
      </c>
      <c r="AW210" s="1" t="s">
        <v>457</v>
      </c>
      <c r="AX210" s="1"/>
    </row>
    <row r="211" spans="1:50" ht="15" customHeight="1">
      <c r="A211" s="1">
        <v>2018</v>
      </c>
      <c r="B211" s="1" t="s">
        <v>452</v>
      </c>
      <c r="C211" s="1" t="s">
        <v>502</v>
      </c>
      <c r="D211" s="1" t="s">
        <v>72</v>
      </c>
      <c r="E211" s="1" t="s">
        <v>97</v>
      </c>
      <c r="F211" s="4">
        <v>43271</v>
      </c>
      <c r="G211" s="1" t="s">
        <v>98</v>
      </c>
      <c r="H211" s="1" t="s">
        <v>135</v>
      </c>
      <c r="I211" s="1" t="s">
        <v>463</v>
      </c>
      <c r="J211" s="5">
        <v>1</v>
      </c>
      <c r="K211" s="5">
        <v>0</v>
      </c>
      <c r="L211" s="1" t="s">
        <v>101</v>
      </c>
      <c r="M211" s="1" t="s">
        <v>78</v>
      </c>
      <c r="N211" s="1" t="s">
        <v>135</v>
      </c>
      <c r="O211" s="1" t="s">
        <v>135</v>
      </c>
      <c r="P211" s="1" t="s">
        <v>31</v>
      </c>
      <c r="Q211" s="2" t="b">
        <v>0</v>
      </c>
      <c r="R211" s="2" t="b">
        <v>0</v>
      </c>
      <c r="S211" s="1" t="s">
        <v>79</v>
      </c>
      <c r="T211" s="5">
        <v>5</v>
      </c>
      <c r="U211" s="5">
        <v>7</v>
      </c>
      <c r="V211" s="5">
        <v>12</v>
      </c>
      <c r="W211" s="1" t="s">
        <v>81</v>
      </c>
      <c r="X211" s="5">
        <v>1</v>
      </c>
      <c r="Y211" s="5">
        <v>1</v>
      </c>
      <c r="Z211" s="5">
        <v>2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2</v>
      </c>
      <c r="AK211" s="1" t="s">
        <v>81</v>
      </c>
      <c r="AL211" s="6">
        <v>6</v>
      </c>
      <c r="AM211" s="6">
        <v>13</v>
      </c>
      <c r="AN211" s="1">
        <v>2</v>
      </c>
      <c r="AO211" s="1">
        <v>4</v>
      </c>
      <c r="AP211" s="1">
        <v>45</v>
      </c>
      <c r="AQ211" s="1">
        <v>55</v>
      </c>
      <c r="AR211" s="1" t="s">
        <v>455</v>
      </c>
      <c r="AS211" s="1" t="s">
        <v>456</v>
      </c>
      <c r="AT211" s="1" t="s">
        <v>400</v>
      </c>
      <c r="AU211" s="1" t="s">
        <v>84</v>
      </c>
      <c r="AV211" s="1" t="s">
        <v>85</v>
      </c>
      <c r="AW211" s="1" t="s">
        <v>457</v>
      </c>
      <c r="AX211" s="1"/>
    </row>
    <row r="212" spans="1:50" ht="15" customHeight="1">
      <c r="A212" s="1">
        <v>2018</v>
      </c>
      <c r="B212" s="1" t="s">
        <v>452</v>
      </c>
      <c r="C212" s="1" t="s">
        <v>503</v>
      </c>
      <c r="D212" s="1" t="s">
        <v>72</v>
      </c>
      <c r="E212" s="1" t="s">
        <v>73</v>
      </c>
      <c r="F212" s="4">
        <v>43271</v>
      </c>
      <c r="G212" s="1" t="s">
        <v>74</v>
      </c>
      <c r="H212" s="1" t="s">
        <v>254</v>
      </c>
      <c r="I212" s="1" t="s">
        <v>176</v>
      </c>
      <c r="J212" s="5">
        <v>1</v>
      </c>
      <c r="K212" s="5">
        <v>0</v>
      </c>
      <c r="L212" s="1" t="s">
        <v>101</v>
      </c>
      <c r="M212" s="1" t="s">
        <v>78</v>
      </c>
      <c r="N212" s="1" t="s">
        <v>254</v>
      </c>
      <c r="O212" s="1" t="s">
        <v>254</v>
      </c>
      <c r="P212" s="1" t="s">
        <v>31</v>
      </c>
      <c r="Q212" s="2" t="b">
        <v>0</v>
      </c>
      <c r="R212" s="2" t="b">
        <v>0</v>
      </c>
      <c r="S212" s="1" t="s">
        <v>79</v>
      </c>
      <c r="T212" s="5">
        <v>3</v>
      </c>
      <c r="U212" s="5">
        <v>4</v>
      </c>
      <c r="V212" s="5">
        <v>7</v>
      </c>
      <c r="W212" s="1" t="s">
        <v>81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1" t="s">
        <v>81</v>
      </c>
      <c r="AL212" s="6">
        <v>9</v>
      </c>
      <c r="AM212" s="6">
        <v>6</v>
      </c>
      <c r="AN212" s="1">
        <v>3</v>
      </c>
      <c r="AO212" s="1">
        <v>2</v>
      </c>
      <c r="AP212" s="1">
        <v>47</v>
      </c>
      <c r="AQ212" s="1">
        <v>53</v>
      </c>
      <c r="AR212" s="1" t="s">
        <v>488</v>
      </c>
      <c r="AS212" s="1" t="s">
        <v>489</v>
      </c>
      <c r="AT212" s="1" t="s">
        <v>400</v>
      </c>
      <c r="AU212" s="1" t="s">
        <v>84</v>
      </c>
      <c r="AV212" s="1" t="s">
        <v>85</v>
      </c>
      <c r="AW212" s="1" t="s">
        <v>457</v>
      </c>
      <c r="AX212" s="1"/>
    </row>
    <row r="213" spans="1:50" ht="15" customHeight="1">
      <c r="A213" s="1">
        <v>2018</v>
      </c>
      <c r="B213" s="1" t="s">
        <v>452</v>
      </c>
      <c r="C213" s="1" t="s">
        <v>504</v>
      </c>
      <c r="D213" s="1" t="s">
        <v>72</v>
      </c>
      <c r="E213" s="1" t="s">
        <v>97</v>
      </c>
      <c r="F213" s="4">
        <v>43271</v>
      </c>
      <c r="G213" s="1" t="s">
        <v>89</v>
      </c>
      <c r="H213" s="1" t="s">
        <v>129</v>
      </c>
      <c r="I213" s="1" t="s">
        <v>171</v>
      </c>
      <c r="J213" s="5">
        <v>0</v>
      </c>
      <c r="K213" s="5">
        <v>1</v>
      </c>
      <c r="L213" s="1" t="s">
        <v>123</v>
      </c>
      <c r="M213" s="1" t="s">
        <v>93</v>
      </c>
      <c r="N213" s="1" t="s">
        <v>171</v>
      </c>
      <c r="O213" s="1" t="s">
        <v>171</v>
      </c>
      <c r="P213" s="1" t="s">
        <v>31</v>
      </c>
      <c r="Q213" s="2" t="b">
        <v>0</v>
      </c>
      <c r="R213" s="2" t="b">
        <v>0</v>
      </c>
      <c r="S213" s="1" t="s">
        <v>79</v>
      </c>
      <c r="T213" s="5">
        <v>2</v>
      </c>
      <c r="U213" s="5">
        <v>6</v>
      </c>
      <c r="V213" s="5">
        <v>8</v>
      </c>
      <c r="W213" s="1" t="s">
        <v>81</v>
      </c>
      <c r="X213" s="5">
        <v>2</v>
      </c>
      <c r="Y213" s="5">
        <v>0</v>
      </c>
      <c r="Z213" s="5">
        <v>2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2</v>
      </c>
      <c r="AK213" s="1" t="s">
        <v>81</v>
      </c>
      <c r="AL213" s="6">
        <v>7</v>
      </c>
      <c r="AM213" s="6">
        <v>10</v>
      </c>
      <c r="AN213" s="1">
        <v>0</v>
      </c>
      <c r="AO213" s="1">
        <v>5</v>
      </c>
      <c r="AP213" s="1">
        <v>22</v>
      </c>
      <c r="AQ213" s="1">
        <v>78</v>
      </c>
      <c r="AR213" s="1" t="s">
        <v>471</v>
      </c>
      <c r="AS213" s="1" t="s">
        <v>472</v>
      </c>
      <c r="AT213" s="1" t="s">
        <v>400</v>
      </c>
      <c r="AU213" s="1" t="s">
        <v>84</v>
      </c>
      <c r="AV213" s="1" t="s">
        <v>85</v>
      </c>
      <c r="AW213" s="1" t="s">
        <v>457</v>
      </c>
      <c r="AX213" s="1"/>
    </row>
    <row r="214" spans="1:50" ht="15" customHeight="1">
      <c r="A214" s="1">
        <v>2018</v>
      </c>
      <c r="B214" s="1" t="s">
        <v>452</v>
      </c>
      <c r="C214" s="1" t="s">
        <v>505</v>
      </c>
      <c r="D214" s="1" t="s">
        <v>72</v>
      </c>
      <c r="E214" s="1" t="s">
        <v>114</v>
      </c>
      <c r="F214" s="4">
        <v>43272</v>
      </c>
      <c r="G214" s="1" t="s">
        <v>199</v>
      </c>
      <c r="H214" s="1" t="s">
        <v>281</v>
      </c>
      <c r="I214" s="1" t="s">
        <v>140</v>
      </c>
      <c r="J214" s="5">
        <v>1</v>
      </c>
      <c r="K214" s="5">
        <v>1</v>
      </c>
      <c r="L214" s="1" t="s">
        <v>190</v>
      </c>
      <c r="M214" s="1" t="s">
        <v>108</v>
      </c>
      <c r="N214" s="1" t="s">
        <v>109</v>
      </c>
      <c r="O214" s="1"/>
      <c r="P214" s="1" t="s">
        <v>110</v>
      </c>
      <c r="Q214" s="2" t="b">
        <v>0</v>
      </c>
      <c r="R214" s="2" t="b">
        <v>0</v>
      </c>
      <c r="S214" s="1" t="s">
        <v>79</v>
      </c>
      <c r="T214" s="5">
        <v>3</v>
      </c>
      <c r="U214" s="5">
        <v>5</v>
      </c>
      <c r="V214" s="5">
        <v>8</v>
      </c>
      <c r="W214" s="1" t="s">
        <v>81</v>
      </c>
      <c r="X214" s="5">
        <v>2</v>
      </c>
      <c r="Y214" s="5">
        <v>0</v>
      </c>
      <c r="Z214" s="5">
        <v>2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2</v>
      </c>
      <c r="AK214" s="1" t="s">
        <v>81</v>
      </c>
      <c r="AL214" s="6">
        <v>10</v>
      </c>
      <c r="AM214" s="6">
        <v>8</v>
      </c>
      <c r="AN214" s="1">
        <v>5</v>
      </c>
      <c r="AO214" s="1">
        <v>4</v>
      </c>
      <c r="AP214" s="1">
        <v>47</v>
      </c>
      <c r="AQ214" s="1">
        <v>53</v>
      </c>
      <c r="AR214" s="1" t="s">
        <v>484</v>
      </c>
      <c r="AS214" s="1" t="s">
        <v>485</v>
      </c>
      <c r="AT214" s="1" t="s">
        <v>400</v>
      </c>
      <c r="AU214" s="1" t="s">
        <v>84</v>
      </c>
      <c r="AV214" s="1" t="s">
        <v>85</v>
      </c>
      <c r="AW214" s="1" t="s">
        <v>457</v>
      </c>
      <c r="AX214" s="1"/>
    </row>
    <row r="215" spans="1:50" ht="15" customHeight="1">
      <c r="A215" s="1">
        <v>2018</v>
      </c>
      <c r="B215" s="1" t="s">
        <v>452</v>
      </c>
      <c r="C215" s="1" t="s">
        <v>506</v>
      </c>
      <c r="D215" s="1" t="s">
        <v>72</v>
      </c>
      <c r="E215" s="1" t="s">
        <v>114</v>
      </c>
      <c r="F215" s="4">
        <v>43272</v>
      </c>
      <c r="G215" s="1" t="s">
        <v>244</v>
      </c>
      <c r="H215" s="1" t="s">
        <v>160</v>
      </c>
      <c r="I215" s="1" t="s">
        <v>477</v>
      </c>
      <c r="J215" s="5">
        <v>1</v>
      </c>
      <c r="K215" s="5">
        <v>0</v>
      </c>
      <c r="L215" s="1" t="s">
        <v>101</v>
      </c>
      <c r="M215" s="1" t="s">
        <v>78</v>
      </c>
      <c r="N215" s="1" t="s">
        <v>160</v>
      </c>
      <c r="O215" s="1" t="s">
        <v>160</v>
      </c>
      <c r="P215" s="1" t="s">
        <v>31</v>
      </c>
      <c r="Q215" s="2" t="b">
        <v>0</v>
      </c>
      <c r="R215" s="2" t="b">
        <v>0</v>
      </c>
      <c r="S215" s="1" t="s">
        <v>79</v>
      </c>
      <c r="T215" s="5">
        <v>5</v>
      </c>
      <c r="U215" s="5">
        <v>3</v>
      </c>
      <c r="V215" s="5">
        <v>8</v>
      </c>
      <c r="W215" s="1" t="s">
        <v>81</v>
      </c>
      <c r="X215" s="5">
        <v>2</v>
      </c>
      <c r="Y215" s="5">
        <v>2</v>
      </c>
      <c r="Z215" s="5">
        <v>4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4</v>
      </c>
      <c r="AK215" s="1" t="s">
        <v>81</v>
      </c>
      <c r="AL215" s="6">
        <v>10</v>
      </c>
      <c r="AM215" s="6">
        <v>8</v>
      </c>
      <c r="AN215" s="1">
        <v>4</v>
      </c>
      <c r="AO215" s="1">
        <v>2</v>
      </c>
      <c r="AP215" s="1">
        <v>43</v>
      </c>
      <c r="AQ215" s="1">
        <v>57</v>
      </c>
      <c r="AR215" s="1" t="s">
        <v>460</v>
      </c>
      <c r="AS215" s="1" t="s">
        <v>461</v>
      </c>
      <c r="AT215" s="1" t="s">
        <v>400</v>
      </c>
      <c r="AU215" s="1" t="s">
        <v>84</v>
      </c>
      <c r="AV215" s="1" t="s">
        <v>85</v>
      </c>
      <c r="AW215" s="1" t="s">
        <v>457</v>
      </c>
      <c r="AX215" s="1"/>
    </row>
    <row r="216" spans="1:50" ht="15" customHeight="1">
      <c r="A216" s="1">
        <v>2018</v>
      </c>
      <c r="B216" s="1" t="s">
        <v>452</v>
      </c>
      <c r="C216" s="1" t="s">
        <v>507</v>
      </c>
      <c r="D216" s="1" t="s">
        <v>72</v>
      </c>
      <c r="E216" s="1" t="s">
        <v>127</v>
      </c>
      <c r="F216" s="4">
        <v>43272</v>
      </c>
      <c r="G216" s="1" t="s">
        <v>89</v>
      </c>
      <c r="H216" s="1" t="s">
        <v>115</v>
      </c>
      <c r="I216" s="1" t="s">
        <v>166</v>
      </c>
      <c r="J216" s="5">
        <v>0</v>
      </c>
      <c r="K216" s="5">
        <v>3</v>
      </c>
      <c r="L216" s="1" t="s">
        <v>148</v>
      </c>
      <c r="M216" s="1" t="s">
        <v>93</v>
      </c>
      <c r="N216" s="1" t="s">
        <v>166</v>
      </c>
      <c r="O216" s="1" t="s">
        <v>166</v>
      </c>
      <c r="P216" s="1" t="s">
        <v>31</v>
      </c>
      <c r="Q216" s="2" t="b">
        <v>0</v>
      </c>
      <c r="R216" s="2" t="b">
        <v>0</v>
      </c>
      <c r="S216" s="1" t="s">
        <v>79</v>
      </c>
      <c r="T216" s="5">
        <v>5</v>
      </c>
      <c r="U216" s="5">
        <v>2</v>
      </c>
      <c r="V216" s="5">
        <v>7</v>
      </c>
      <c r="W216" s="1" t="s">
        <v>81</v>
      </c>
      <c r="X216" s="5">
        <v>3</v>
      </c>
      <c r="Y216" s="5">
        <v>4</v>
      </c>
      <c r="Z216" s="5">
        <v>7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7</v>
      </c>
      <c r="AK216" s="1" t="s">
        <v>81</v>
      </c>
      <c r="AL216" s="6">
        <v>6</v>
      </c>
      <c r="AM216" s="6">
        <v>11</v>
      </c>
      <c r="AN216" s="1">
        <v>3</v>
      </c>
      <c r="AO216" s="1">
        <v>5</v>
      </c>
      <c r="AP216" s="1">
        <v>57</v>
      </c>
      <c r="AQ216" s="1">
        <v>43</v>
      </c>
      <c r="AR216" s="1" t="s">
        <v>491</v>
      </c>
      <c r="AS216" s="1" t="s">
        <v>492</v>
      </c>
      <c r="AT216" s="1" t="s">
        <v>400</v>
      </c>
      <c r="AU216" s="1" t="s">
        <v>84</v>
      </c>
      <c r="AV216" s="1" t="s">
        <v>85</v>
      </c>
      <c r="AW216" s="1" t="s">
        <v>457</v>
      </c>
      <c r="AX216" s="1"/>
    </row>
    <row r="217" spans="1:50" ht="15" customHeight="1">
      <c r="A217" s="1">
        <v>2018</v>
      </c>
      <c r="B217" s="1" t="s">
        <v>452</v>
      </c>
      <c r="C217" s="1" t="s">
        <v>508</v>
      </c>
      <c r="D217" s="1" t="s">
        <v>72</v>
      </c>
      <c r="E217" s="1" t="s">
        <v>145</v>
      </c>
      <c r="F217" s="4">
        <v>43273</v>
      </c>
      <c r="G217" s="1" t="s">
        <v>98</v>
      </c>
      <c r="H217" s="1" t="s">
        <v>165</v>
      </c>
      <c r="I217" s="1" t="s">
        <v>76</v>
      </c>
      <c r="J217" s="5">
        <v>2</v>
      </c>
      <c r="K217" s="5">
        <v>0</v>
      </c>
      <c r="L217" s="1" t="s">
        <v>152</v>
      </c>
      <c r="M217" s="1" t="s">
        <v>78</v>
      </c>
      <c r="N217" s="1" t="s">
        <v>165</v>
      </c>
      <c r="O217" s="1" t="s">
        <v>165</v>
      </c>
      <c r="P217" s="1" t="s">
        <v>31</v>
      </c>
      <c r="Q217" s="2" t="b">
        <v>0</v>
      </c>
      <c r="R217" s="2" t="b">
        <v>0</v>
      </c>
      <c r="S217" s="1" t="s">
        <v>79</v>
      </c>
      <c r="T217" s="5">
        <v>9</v>
      </c>
      <c r="U217" s="5">
        <v>1</v>
      </c>
      <c r="V217" s="5">
        <v>10</v>
      </c>
      <c r="W217" s="1" t="s">
        <v>81</v>
      </c>
      <c r="X217" s="5">
        <v>2</v>
      </c>
      <c r="Y217" s="5">
        <v>1</v>
      </c>
      <c r="Z217" s="5">
        <v>3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3</v>
      </c>
      <c r="AK217" s="1" t="s">
        <v>81</v>
      </c>
      <c r="AL217" s="6">
        <v>20</v>
      </c>
      <c r="AM217" s="6">
        <v>3</v>
      </c>
      <c r="AN217" s="1">
        <v>10</v>
      </c>
      <c r="AO217" s="1">
        <v>0</v>
      </c>
      <c r="AP217" s="1">
        <v>71</v>
      </c>
      <c r="AQ217" s="1">
        <v>29</v>
      </c>
      <c r="AR217" s="1" t="s">
        <v>464</v>
      </c>
      <c r="AS217" s="1" t="s">
        <v>465</v>
      </c>
      <c r="AT217" s="1" t="s">
        <v>400</v>
      </c>
      <c r="AU217" s="1" t="s">
        <v>84</v>
      </c>
      <c r="AV217" s="1" t="s">
        <v>85</v>
      </c>
      <c r="AW217" s="1" t="s">
        <v>457</v>
      </c>
      <c r="AX217" s="1"/>
    </row>
    <row r="218" spans="1:50" ht="15" customHeight="1">
      <c r="A218" s="1">
        <v>2018</v>
      </c>
      <c r="B218" s="1" t="s">
        <v>452</v>
      </c>
      <c r="C218" s="1" t="s">
        <v>509</v>
      </c>
      <c r="D218" s="1" t="s">
        <v>72</v>
      </c>
      <c r="E218" s="1" t="s">
        <v>127</v>
      </c>
      <c r="F218" s="4">
        <v>43273</v>
      </c>
      <c r="G218" s="1" t="s">
        <v>74</v>
      </c>
      <c r="H218" s="1" t="s">
        <v>263</v>
      </c>
      <c r="I218" s="1" t="s">
        <v>474</v>
      </c>
      <c r="J218" s="5">
        <v>2</v>
      </c>
      <c r="K218" s="5">
        <v>0</v>
      </c>
      <c r="L218" s="1" t="s">
        <v>152</v>
      </c>
      <c r="M218" s="1" t="s">
        <v>78</v>
      </c>
      <c r="N218" s="1" t="s">
        <v>263</v>
      </c>
      <c r="O218" s="1" t="s">
        <v>263</v>
      </c>
      <c r="P218" s="1" t="s">
        <v>31</v>
      </c>
      <c r="Q218" s="2" t="b">
        <v>0</v>
      </c>
      <c r="R218" s="2" t="b">
        <v>0</v>
      </c>
      <c r="S218" s="1" t="s">
        <v>79</v>
      </c>
      <c r="T218" s="5">
        <v>6</v>
      </c>
      <c r="U218" s="5">
        <v>5</v>
      </c>
      <c r="V218" s="5">
        <v>11</v>
      </c>
      <c r="W218" s="1" t="s">
        <v>81</v>
      </c>
      <c r="X218" s="5">
        <v>1</v>
      </c>
      <c r="Y218" s="5">
        <v>0</v>
      </c>
      <c r="Z218" s="5">
        <v>1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1</v>
      </c>
      <c r="AK218" s="1" t="s">
        <v>81</v>
      </c>
      <c r="AL218" s="6">
        <v>10</v>
      </c>
      <c r="AM218" s="6">
        <v>8</v>
      </c>
      <c r="AN218" s="1">
        <v>4</v>
      </c>
      <c r="AO218" s="1">
        <v>3</v>
      </c>
      <c r="AP218" s="1">
        <v>61</v>
      </c>
      <c r="AQ218" s="1">
        <v>39</v>
      </c>
      <c r="AR218" s="1" t="s">
        <v>496</v>
      </c>
      <c r="AS218" s="1" t="s">
        <v>497</v>
      </c>
      <c r="AT218" s="1" t="s">
        <v>400</v>
      </c>
      <c r="AU218" s="1" t="s">
        <v>84</v>
      </c>
      <c r="AV218" s="1" t="s">
        <v>85</v>
      </c>
      <c r="AW218" s="1" t="s">
        <v>457</v>
      </c>
      <c r="AX218" s="1"/>
    </row>
    <row r="219" spans="1:50" ht="15" customHeight="1">
      <c r="A219" s="1">
        <v>2018</v>
      </c>
      <c r="B219" s="1" t="s">
        <v>452</v>
      </c>
      <c r="C219" s="1" t="s">
        <v>510</v>
      </c>
      <c r="D219" s="1" t="s">
        <v>72</v>
      </c>
      <c r="E219" s="1" t="s">
        <v>145</v>
      </c>
      <c r="F219" s="4">
        <v>43273</v>
      </c>
      <c r="G219" s="1" t="s">
        <v>244</v>
      </c>
      <c r="H219" s="1" t="s">
        <v>274</v>
      </c>
      <c r="I219" s="1" t="s">
        <v>161</v>
      </c>
      <c r="J219" s="5">
        <v>1</v>
      </c>
      <c r="K219" s="5">
        <v>2</v>
      </c>
      <c r="L219" s="1" t="s">
        <v>200</v>
      </c>
      <c r="M219" s="1" t="s">
        <v>93</v>
      </c>
      <c r="N219" s="1" t="s">
        <v>161</v>
      </c>
      <c r="O219" s="1" t="s">
        <v>161</v>
      </c>
      <c r="P219" s="1" t="s">
        <v>31</v>
      </c>
      <c r="Q219" s="2" t="b">
        <v>0</v>
      </c>
      <c r="R219" s="2" t="b">
        <v>0</v>
      </c>
      <c r="S219" s="1" t="s">
        <v>79</v>
      </c>
      <c r="T219" s="5">
        <v>3</v>
      </c>
      <c r="U219" s="5">
        <v>7</v>
      </c>
      <c r="V219" s="5">
        <v>10</v>
      </c>
      <c r="W219" s="1" t="s">
        <v>81</v>
      </c>
      <c r="X219" s="5">
        <v>4</v>
      </c>
      <c r="Y219" s="5">
        <v>1</v>
      </c>
      <c r="Z219" s="5">
        <v>5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5</v>
      </c>
      <c r="AK219" s="1" t="s">
        <v>81</v>
      </c>
      <c r="AL219" s="6">
        <v>11</v>
      </c>
      <c r="AM219" s="6">
        <v>12</v>
      </c>
      <c r="AN219" s="1">
        <v>3</v>
      </c>
      <c r="AO219" s="1">
        <v>5</v>
      </c>
      <c r="AP219" s="1">
        <v>37</v>
      </c>
      <c r="AQ219" s="1">
        <v>63</v>
      </c>
      <c r="AR219" s="1" t="s">
        <v>481</v>
      </c>
      <c r="AS219" s="1" t="s">
        <v>482</v>
      </c>
      <c r="AT219" s="1" t="s">
        <v>400</v>
      </c>
      <c r="AU219" s="1" t="s">
        <v>84</v>
      </c>
      <c r="AV219" s="1" t="s">
        <v>85</v>
      </c>
      <c r="AW219" s="1" t="s">
        <v>457</v>
      </c>
      <c r="AX219" s="1"/>
    </row>
    <row r="220" spans="1:50" ht="15" customHeight="1">
      <c r="A220" s="1">
        <v>2018</v>
      </c>
      <c r="B220" s="1" t="s">
        <v>452</v>
      </c>
      <c r="C220" s="1" t="s">
        <v>511</v>
      </c>
      <c r="D220" s="1" t="s">
        <v>72</v>
      </c>
      <c r="E220" s="1" t="s">
        <v>156</v>
      </c>
      <c r="F220" s="4">
        <v>43274</v>
      </c>
      <c r="G220" s="1" t="s">
        <v>98</v>
      </c>
      <c r="H220" s="1" t="s">
        <v>397</v>
      </c>
      <c r="I220" s="1" t="s">
        <v>175</v>
      </c>
      <c r="J220" s="5">
        <v>5</v>
      </c>
      <c r="K220" s="5">
        <v>2</v>
      </c>
      <c r="L220" s="1" t="s">
        <v>512</v>
      </c>
      <c r="M220" s="1" t="s">
        <v>78</v>
      </c>
      <c r="N220" s="1" t="s">
        <v>397</v>
      </c>
      <c r="O220" s="1" t="s">
        <v>397</v>
      </c>
      <c r="P220" s="1" t="s">
        <v>31</v>
      </c>
      <c r="Q220" s="2" t="b">
        <v>0</v>
      </c>
      <c r="R220" s="2" t="b">
        <v>0</v>
      </c>
      <c r="S220" s="1" t="s">
        <v>79</v>
      </c>
      <c r="T220" s="5">
        <v>5</v>
      </c>
      <c r="U220" s="5">
        <v>2</v>
      </c>
      <c r="V220" s="5">
        <v>7</v>
      </c>
      <c r="W220" s="1" t="s">
        <v>81</v>
      </c>
      <c r="X220" s="5">
        <v>0</v>
      </c>
      <c r="Y220" s="5">
        <v>1</v>
      </c>
      <c r="Z220" s="5">
        <v>1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1</v>
      </c>
      <c r="AK220" s="1" t="s">
        <v>81</v>
      </c>
      <c r="AL220" s="6">
        <v>20</v>
      </c>
      <c r="AM220" s="6">
        <v>13</v>
      </c>
      <c r="AN220" s="1">
        <v>12</v>
      </c>
      <c r="AO220" s="1">
        <v>5</v>
      </c>
      <c r="AP220" s="1">
        <v>49</v>
      </c>
      <c r="AQ220" s="1">
        <v>51</v>
      </c>
      <c r="AR220" s="1" t="s">
        <v>475</v>
      </c>
      <c r="AS220" s="1" t="s">
        <v>456</v>
      </c>
      <c r="AT220" s="1" t="s">
        <v>400</v>
      </c>
      <c r="AU220" s="1" t="s">
        <v>84</v>
      </c>
      <c r="AV220" s="1" t="s">
        <v>85</v>
      </c>
      <c r="AW220" s="1" t="s">
        <v>457</v>
      </c>
      <c r="AX220" s="1"/>
    </row>
    <row r="221" spans="1:50" ht="15" customHeight="1">
      <c r="A221" s="1">
        <v>2018</v>
      </c>
      <c r="B221" s="1" t="s">
        <v>452</v>
      </c>
      <c r="C221" s="1" t="s">
        <v>513</v>
      </c>
      <c r="D221" s="1" t="s">
        <v>72</v>
      </c>
      <c r="E221" s="1" t="s">
        <v>139</v>
      </c>
      <c r="F221" s="4">
        <v>43274</v>
      </c>
      <c r="G221" s="1" t="s">
        <v>74</v>
      </c>
      <c r="H221" s="1" t="s">
        <v>157</v>
      </c>
      <c r="I221" s="1" t="s">
        <v>128</v>
      </c>
      <c r="J221" s="5">
        <v>1</v>
      </c>
      <c r="K221" s="5">
        <v>2</v>
      </c>
      <c r="L221" s="1" t="s">
        <v>200</v>
      </c>
      <c r="M221" s="1" t="s">
        <v>93</v>
      </c>
      <c r="N221" s="1" t="s">
        <v>128</v>
      </c>
      <c r="O221" s="1" t="s">
        <v>128</v>
      </c>
      <c r="P221" s="1" t="s">
        <v>31</v>
      </c>
      <c r="Q221" s="2" t="b">
        <v>0</v>
      </c>
      <c r="R221" s="2" t="b">
        <v>0</v>
      </c>
      <c r="S221" s="1" t="s">
        <v>79</v>
      </c>
      <c r="T221" s="5">
        <v>7</v>
      </c>
      <c r="U221" s="5">
        <v>5</v>
      </c>
      <c r="V221" s="5">
        <v>12</v>
      </c>
      <c r="W221" s="1" t="s">
        <v>81</v>
      </c>
      <c r="X221" s="5">
        <v>4</v>
      </c>
      <c r="Y221" s="5">
        <v>0</v>
      </c>
      <c r="Z221" s="5">
        <v>4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4</v>
      </c>
      <c r="AK221" s="1" t="s">
        <v>81</v>
      </c>
      <c r="AL221" s="6">
        <v>8</v>
      </c>
      <c r="AM221" s="6">
        <v>12</v>
      </c>
      <c r="AN221" s="1">
        <v>6</v>
      </c>
      <c r="AO221" s="1">
        <v>5</v>
      </c>
      <c r="AP221" s="1">
        <v>41</v>
      </c>
      <c r="AQ221" s="1">
        <v>59</v>
      </c>
      <c r="AR221" s="1" t="s">
        <v>488</v>
      </c>
      <c r="AS221" s="1" t="s">
        <v>489</v>
      </c>
      <c r="AT221" s="1" t="s">
        <v>400</v>
      </c>
      <c r="AU221" s="1" t="s">
        <v>84</v>
      </c>
      <c r="AV221" s="1" t="s">
        <v>85</v>
      </c>
      <c r="AW221" s="1" t="s">
        <v>457</v>
      </c>
      <c r="AX221" s="1"/>
    </row>
    <row r="222" spans="1:50" ht="15" customHeight="1">
      <c r="A222" s="1">
        <v>2018</v>
      </c>
      <c r="B222" s="1" t="s">
        <v>452</v>
      </c>
      <c r="C222" s="1" t="s">
        <v>514</v>
      </c>
      <c r="D222" s="1" t="s">
        <v>72</v>
      </c>
      <c r="E222" s="1" t="s">
        <v>139</v>
      </c>
      <c r="F222" s="4">
        <v>43274</v>
      </c>
      <c r="G222" s="1" t="s">
        <v>89</v>
      </c>
      <c r="H222" s="1" t="s">
        <v>75</v>
      </c>
      <c r="I222" s="1" t="s">
        <v>106</v>
      </c>
      <c r="J222" s="5">
        <v>2</v>
      </c>
      <c r="K222" s="5">
        <v>1</v>
      </c>
      <c r="L222" s="1" t="s">
        <v>117</v>
      </c>
      <c r="M222" s="1" t="s">
        <v>78</v>
      </c>
      <c r="N222" s="1" t="s">
        <v>75</v>
      </c>
      <c r="O222" s="1" t="s">
        <v>75</v>
      </c>
      <c r="P222" s="1" t="s">
        <v>31</v>
      </c>
      <c r="Q222" s="2" t="b">
        <v>0</v>
      </c>
      <c r="R222" s="2" t="b">
        <v>0</v>
      </c>
      <c r="S222" s="1" t="s">
        <v>79</v>
      </c>
      <c r="T222" s="5">
        <v>8</v>
      </c>
      <c r="U222" s="5">
        <v>3</v>
      </c>
      <c r="V222" s="5">
        <v>11</v>
      </c>
      <c r="W222" s="1" t="s">
        <v>81</v>
      </c>
      <c r="X222" s="5">
        <v>1</v>
      </c>
      <c r="Y222" s="5">
        <v>2</v>
      </c>
      <c r="Z222" s="5">
        <v>3</v>
      </c>
      <c r="AA222" s="5">
        <v>0</v>
      </c>
      <c r="AB222" s="5">
        <v>0</v>
      </c>
      <c r="AC222" s="5">
        <v>0</v>
      </c>
      <c r="AD222" s="5">
        <v>1</v>
      </c>
      <c r="AE222" s="5">
        <v>0</v>
      </c>
      <c r="AF222" s="5">
        <v>1</v>
      </c>
      <c r="AG222" s="5">
        <v>1</v>
      </c>
      <c r="AH222" s="5">
        <v>0</v>
      </c>
      <c r="AI222" s="5">
        <v>1</v>
      </c>
      <c r="AJ222" s="5">
        <v>4</v>
      </c>
      <c r="AK222" s="1" t="s">
        <v>81</v>
      </c>
      <c r="AL222" s="6">
        <v>11</v>
      </c>
      <c r="AM222" s="6">
        <v>6</v>
      </c>
      <c r="AN222" s="1">
        <v>6</v>
      </c>
      <c r="AO222" s="1">
        <v>5</v>
      </c>
      <c r="AP222" s="1">
        <v>75</v>
      </c>
      <c r="AQ222" s="1">
        <v>25</v>
      </c>
      <c r="AR222" s="1" t="s">
        <v>468</v>
      </c>
      <c r="AS222" s="1" t="s">
        <v>469</v>
      </c>
      <c r="AT222" s="1" t="s">
        <v>400</v>
      </c>
      <c r="AU222" s="1" t="s">
        <v>84</v>
      </c>
      <c r="AV222" s="1" t="s">
        <v>85</v>
      </c>
      <c r="AW222" s="1" t="s">
        <v>457</v>
      </c>
      <c r="AX222" s="1"/>
    </row>
    <row r="223" spans="1:50" ht="15" customHeight="1">
      <c r="A223" s="1">
        <v>2018</v>
      </c>
      <c r="B223" s="1" t="s">
        <v>452</v>
      </c>
      <c r="C223" s="1" t="s">
        <v>515</v>
      </c>
      <c r="D223" s="1" t="s">
        <v>72</v>
      </c>
      <c r="E223" s="1" t="s">
        <v>156</v>
      </c>
      <c r="F223" s="4">
        <v>43275</v>
      </c>
      <c r="G223" s="1" t="s">
        <v>98</v>
      </c>
      <c r="H223" s="1" t="s">
        <v>99</v>
      </c>
      <c r="I223" s="1" t="s">
        <v>494</v>
      </c>
      <c r="J223" s="5">
        <v>6</v>
      </c>
      <c r="K223" s="5">
        <v>1</v>
      </c>
      <c r="L223" s="1" t="s">
        <v>516</v>
      </c>
      <c r="M223" s="1" t="s">
        <v>78</v>
      </c>
      <c r="N223" s="1" t="s">
        <v>99</v>
      </c>
      <c r="O223" s="1" t="s">
        <v>99</v>
      </c>
      <c r="P223" s="1" t="s">
        <v>31</v>
      </c>
      <c r="Q223" s="2" t="b">
        <v>0</v>
      </c>
      <c r="R223" s="2" t="b">
        <v>0</v>
      </c>
      <c r="S223" s="1" t="s">
        <v>79</v>
      </c>
      <c r="T223" s="5">
        <v>3</v>
      </c>
      <c r="U223" s="5">
        <v>2</v>
      </c>
      <c r="V223" s="5">
        <v>5</v>
      </c>
      <c r="W223" s="1" t="s">
        <v>81</v>
      </c>
      <c r="X223" s="5">
        <v>1</v>
      </c>
      <c r="Y223" s="5">
        <v>3</v>
      </c>
      <c r="Z223" s="5">
        <v>4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4</v>
      </c>
      <c r="AK223" s="1" t="s">
        <v>81</v>
      </c>
      <c r="AL223" s="6">
        <v>9</v>
      </c>
      <c r="AM223" s="6">
        <v>7</v>
      </c>
      <c r="AN223" s="1">
        <v>7</v>
      </c>
      <c r="AO223" s="1">
        <v>2</v>
      </c>
      <c r="AP223" s="1">
        <v>59</v>
      </c>
      <c r="AQ223" s="1">
        <v>41</v>
      </c>
      <c r="AR223" s="1" t="s">
        <v>491</v>
      </c>
      <c r="AS223" s="1" t="s">
        <v>492</v>
      </c>
      <c r="AT223" s="1" t="s">
        <v>400</v>
      </c>
      <c r="AU223" s="1" t="s">
        <v>84</v>
      </c>
      <c r="AV223" s="1" t="s">
        <v>85</v>
      </c>
      <c r="AW223" s="1" t="s">
        <v>457</v>
      </c>
      <c r="AX223" s="1"/>
    </row>
    <row r="224" spans="1:50" ht="15" customHeight="1">
      <c r="A224" s="1">
        <v>2018</v>
      </c>
      <c r="B224" s="1" t="s">
        <v>452</v>
      </c>
      <c r="C224" s="1" t="s">
        <v>517</v>
      </c>
      <c r="D224" s="1" t="s">
        <v>72</v>
      </c>
      <c r="E224" s="1" t="s">
        <v>170</v>
      </c>
      <c r="F224" s="4">
        <v>43275</v>
      </c>
      <c r="G224" s="1" t="s">
        <v>244</v>
      </c>
      <c r="H224" s="1" t="s">
        <v>141</v>
      </c>
      <c r="I224" s="1" t="s">
        <v>500</v>
      </c>
      <c r="J224" s="5">
        <v>2</v>
      </c>
      <c r="K224" s="5">
        <v>2</v>
      </c>
      <c r="L224" s="1" t="s">
        <v>177</v>
      </c>
      <c r="M224" s="1" t="s">
        <v>108</v>
      </c>
      <c r="N224" s="1" t="s">
        <v>109</v>
      </c>
      <c r="O224" s="1"/>
      <c r="P224" s="1" t="s">
        <v>110</v>
      </c>
      <c r="Q224" s="2" t="b">
        <v>0</v>
      </c>
      <c r="R224" s="2" t="b">
        <v>0</v>
      </c>
      <c r="S224" s="1" t="s">
        <v>79</v>
      </c>
      <c r="T224" s="5">
        <v>2</v>
      </c>
      <c r="U224" s="5">
        <v>5</v>
      </c>
      <c r="V224" s="5">
        <v>7</v>
      </c>
      <c r="W224" s="1" t="s">
        <v>81</v>
      </c>
      <c r="X224" s="5">
        <v>2</v>
      </c>
      <c r="Y224" s="5">
        <v>3</v>
      </c>
      <c r="Z224" s="5">
        <v>5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5</v>
      </c>
      <c r="AK224" s="1" t="s">
        <v>81</v>
      </c>
      <c r="AL224" s="6">
        <v>5</v>
      </c>
      <c r="AM224" s="6">
        <v>12</v>
      </c>
      <c r="AN224" s="1">
        <v>3</v>
      </c>
      <c r="AO224" s="1">
        <v>7</v>
      </c>
      <c r="AP224" s="1">
        <v>56</v>
      </c>
      <c r="AQ224" s="1">
        <v>44</v>
      </c>
      <c r="AR224" s="1" t="s">
        <v>460</v>
      </c>
      <c r="AS224" s="1" t="s">
        <v>461</v>
      </c>
      <c r="AT224" s="1" t="s">
        <v>400</v>
      </c>
      <c r="AU224" s="1" t="s">
        <v>84</v>
      </c>
      <c r="AV224" s="1" t="s">
        <v>85</v>
      </c>
      <c r="AW224" s="1" t="s">
        <v>457</v>
      </c>
      <c r="AX224" s="1"/>
    </row>
    <row r="225" spans="1:50" ht="15" customHeight="1">
      <c r="A225" s="1">
        <v>2018</v>
      </c>
      <c r="B225" s="1" t="s">
        <v>452</v>
      </c>
      <c r="C225" s="1" t="s">
        <v>518</v>
      </c>
      <c r="D225" s="1" t="s">
        <v>72</v>
      </c>
      <c r="E225" s="1" t="s">
        <v>170</v>
      </c>
      <c r="F225" s="4">
        <v>43275</v>
      </c>
      <c r="G225" s="1" t="s">
        <v>89</v>
      </c>
      <c r="H225" s="1" t="s">
        <v>90</v>
      </c>
      <c r="I225" s="1" t="s">
        <v>367</v>
      </c>
      <c r="J225" s="5">
        <v>0</v>
      </c>
      <c r="K225" s="5">
        <v>3</v>
      </c>
      <c r="L225" s="1" t="s">
        <v>148</v>
      </c>
      <c r="M225" s="1" t="s">
        <v>93</v>
      </c>
      <c r="N225" s="1" t="s">
        <v>367</v>
      </c>
      <c r="O225" s="1" t="s">
        <v>367</v>
      </c>
      <c r="P225" s="1" t="s">
        <v>31</v>
      </c>
      <c r="Q225" s="2" t="b">
        <v>0</v>
      </c>
      <c r="R225" s="2" t="b">
        <v>0</v>
      </c>
      <c r="S225" s="1" t="s">
        <v>79</v>
      </c>
      <c r="T225" s="5">
        <v>7</v>
      </c>
      <c r="U225" s="5">
        <v>5</v>
      </c>
      <c r="V225" s="5">
        <v>12</v>
      </c>
      <c r="W225" s="1" t="s">
        <v>81</v>
      </c>
      <c r="X225" s="5">
        <v>2</v>
      </c>
      <c r="Y225" s="5">
        <v>0</v>
      </c>
      <c r="Z225" s="5">
        <v>2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2</v>
      </c>
      <c r="AK225" s="1" t="s">
        <v>81</v>
      </c>
      <c r="AL225" s="6">
        <v>4</v>
      </c>
      <c r="AM225" s="6">
        <v>9</v>
      </c>
      <c r="AN225" s="1">
        <v>2</v>
      </c>
      <c r="AO225" s="1">
        <v>4</v>
      </c>
      <c r="AP225" s="1">
        <v>45</v>
      </c>
      <c r="AQ225" s="1">
        <v>55</v>
      </c>
      <c r="AR225" s="1" t="s">
        <v>471</v>
      </c>
      <c r="AS225" s="1" t="s">
        <v>472</v>
      </c>
      <c r="AT225" s="1" t="s">
        <v>400</v>
      </c>
      <c r="AU225" s="1" t="s">
        <v>84</v>
      </c>
      <c r="AV225" s="1" t="s">
        <v>85</v>
      </c>
      <c r="AW225" s="1" t="s">
        <v>457</v>
      </c>
      <c r="AX225" s="1"/>
    </row>
    <row r="226" spans="1:50" ht="15" customHeight="1">
      <c r="A226" s="1">
        <v>2018</v>
      </c>
      <c r="B226" s="1" t="s">
        <v>452</v>
      </c>
      <c r="C226" s="1" t="s">
        <v>519</v>
      </c>
      <c r="D226" s="1" t="s">
        <v>72</v>
      </c>
      <c r="E226" s="1" t="s">
        <v>73</v>
      </c>
      <c r="F226" s="4">
        <v>43276</v>
      </c>
      <c r="G226" s="1" t="s">
        <v>221</v>
      </c>
      <c r="H226" s="1" t="s">
        <v>176</v>
      </c>
      <c r="I226" s="1" t="s">
        <v>459</v>
      </c>
      <c r="J226" s="5">
        <v>2</v>
      </c>
      <c r="K226" s="5">
        <v>1</v>
      </c>
      <c r="L226" s="1" t="s">
        <v>117</v>
      </c>
      <c r="M226" s="1" t="s">
        <v>78</v>
      </c>
      <c r="N226" s="1" t="s">
        <v>176</v>
      </c>
      <c r="O226" s="1" t="s">
        <v>176</v>
      </c>
      <c r="P226" s="1" t="s">
        <v>31</v>
      </c>
      <c r="Q226" s="2" t="b">
        <v>0</v>
      </c>
      <c r="R226" s="2" t="b">
        <v>0</v>
      </c>
      <c r="S226" s="1" t="s">
        <v>79</v>
      </c>
      <c r="T226" s="5">
        <v>7</v>
      </c>
      <c r="U226" s="5">
        <v>2</v>
      </c>
      <c r="V226" s="5">
        <v>9</v>
      </c>
      <c r="W226" s="1" t="s">
        <v>81</v>
      </c>
      <c r="X226" s="5">
        <v>0</v>
      </c>
      <c r="Y226" s="5">
        <v>2</v>
      </c>
      <c r="Z226" s="5">
        <v>2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2</v>
      </c>
      <c r="AK226" s="1" t="s">
        <v>81</v>
      </c>
      <c r="AL226" s="6">
        <v>18</v>
      </c>
      <c r="AM226" s="6">
        <v>6</v>
      </c>
      <c r="AN226" s="1">
        <v>8</v>
      </c>
      <c r="AO226" s="1">
        <v>1</v>
      </c>
      <c r="AP226" s="1">
        <v>64</v>
      </c>
      <c r="AQ226" s="1">
        <v>36</v>
      </c>
      <c r="AR226" s="1" t="s">
        <v>496</v>
      </c>
      <c r="AS226" s="1" t="s">
        <v>497</v>
      </c>
      <c r="AT226" s="1" t="s">
        <v>400</v>
      </c>
      <c r="AU226" s="1" t="s">
        <v>84</v>
      </c>
      <c r="AV226" s="1" t="s">
        <v>85</v>
      </c>
      <c r="AW226" s="1" t="s">
        <v>457</v>
      </c>
      <c r="AX226" s="1"/>
    </row>
    <row r="227" spans="1:50" ht="15" customHeight="1">
      <c r="A227" s="1">
        <v>2018</v>
      </c>
      <c r="B227" s="1" t="s">
        <v>452</v>
      </c>
      <c r="C227" s="1" t="s">
        <v>520</v>
      </c>
      <c r="D227" s="1" t="s">
        <v>72</v>
      </c>
      <c r="E227" s="1" t="s">
        <v>73</v>
      </c>
      <c r="F227" s="4">
        <v>43276</v>
      </c>
      <c r="G227" s="1" t="s">
        <v>74</v>
      </c>
      <c r="H227" s="1" t="s">
        <v>254</v>
      </c>
      <c r="I227" s="1" t="s">
        <v>400</v>
      </c>
      <c r="J227" s="5">
        <v>3</v>
      </c>
      <c r="K227" s="5">
        <v>0</v>
      </c>
      <c r="L227" s="1" t="s">
        <v>180</v>
      </c>
      <c r="M227" s="1" t="s">
        <v>78</v>
      </c>
      <c r="N227" s="1" t="s">
        <v>254</v>
      </c>
      <c r="O227" s="1" t="s">
        <v>254</v>
      </c>
      <c r="P227" s="1" t="s">
        <v>31</v>
      </c>
      <c r="Q227" s="2" t="b">
        <v>0</v>
      </c>
      <c r="R227" s="2" t="b">
        <v>0</v>
      </c>
      <c r="S227" s="1" t="s">
        <v>79</v>
      </c>
      <c r="T227" s="5">
        <v>4</v>
      </c>
      <c r="U227" s="5">
        <v>2</v>
      </c>
      <c r="V227" s="5">
        <v>6</v>
      </c>
      <c r="W227" s="1" t="s">
        <v>81</v>
      </c>
      <c r="X227" s="5">
        <v>1</v>
      </c>
      <c r="Y227" s="5">
        <v>2</v>
      </c>
      <c r="Z227" s="5">
        <v>3</v>
      </c>
      <c r="AA227" s="5">
        <v>0</v>
      </c>
      <c r="AB227" s="5">
        <v>0</v>
      </c>
      <c r="AC227" s="5">
        <v>0</v>
      </c>
      <c r="AD227" s="5">
        <v>0</v>
      </c>
      <c r="AE227" s="5">
        <v>1</v>
      </c>
      <c r="AF227" s="5">
        <v>1</v>
      </c>
      <c r="AG227" s="5">
        <v>0</v>
      </c>
      <c r="AH227" s="5">
        <v>1</v>
      </c>
      <c r="AI227" s="5">
        <v>1</v>
      </c>
      <c r="AJ227" s="5">
        <v>4</v>
      </c>
      <c r="AK227" s="1" t="s">
        <v>81</v>
      </c>
      <c r="AL227" s="6">
        <v>12</v>
      </c>
      <c r="AM227" s="6">
        <v>2</v>
      </c>
      <c r="AN227" s="1">
        <v>6</v>
      </c>
      <c r="AO227" s="1">
        <v>1</v>
      </c>
      <c r="AP227" s="1">
        <v>57</v>
      </c>
      <c r="AQ227" s="1">
        <v>43</v>
      </c>
      <c r="AR227" s="1" t="s">
        <v>484</v>
      </c>
      <c r="AS227" s="1" t="s">
        <v>485</v>
      </c>
      <c r="AT227" s="1" t="s">
        <v>400</v>
      </c>
      <c r="AU227" s="1" t="s">
        <v>84</v>
      </c>
      <c r="AV227" s="1" t="s">
        <v>85</v>
      </c>
      <c r="AW227" s="1" t="s">
        <v>457</v>
      </c>
      <c r="AX227" s="1"/>
    </row>
    <row r="228" spans="1:50" ht="15" customHeight="1">
      <c r="A228" s="1">
        <v>2018</v>
      </c>
      <c r="B228" s="1" t="s">
        <v>452</v>
      </c>
      <c r="C228" s="1" t="s">
        <v>521</v>
      </c>
      <c r="D228" s="1" t="s">
        <v>72</v>
      </c>
      <c r="E228" s="1" t="s">
        <v>97</v>
      </c>
      <c r="F228" s="4">
        <v>43276</v>
      </c>
      <c r="G228" s="1" t="s">
        <v>244</v>
      </c>
      <c r="H228" s="1" t="s">
        <v>171</v>
      </c>
      <c r="I228" s="1" t="s">
        <v>463</v>
      </c>
      <c r="J228" s="5">
        <v>2</v>
      </c>
      <c r="K228" s="5">
        <v>2</v>
      </c>
      <c r="L228" s="1" t="s">
        <v>177</v>
      </c>
      <c r="M228" s="1" t="s">
        <v>108</v>
      </c>
      <c r="N228" s="1" t="s">
        <v>109</v>
      </c>
      <c r="O228" s="1"/>
      <c r="P228" s="1" t="s">
        <v>110</v>
      </c>
      <c r="Q228" s="2" t="b">
        <v>0</v>
      </c>
      <c r="R228" s="2" t="b">
        <v>0</v>
      </c>
      <c r="S228" s="1" t="s">
        <v>79</v>
      </c>
      <c r="T228" s="5">
        <v>7</v>
      </c>
      <c r="U228" s="5">
        <v>1</v>
      </c>
      <c r="V228" s="5">
        <v>8</v>
      </c>
      <c r="W228" s="1" t="s">
        <v>81</v>
      </c>
      <c r="X228" s="5">
        <v>0</v>
      </c>
      <c r="Y228" s="5">
        <v>6</v>
      </c>
      <c r="Z228" s="5">
        <v>6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6</v>
      </c>
      <c r="AK228" s="1" t="s">
        <v>81</v>
      </c>
      <c r="AL228" s="6">
        <v>17</v>
      </c>
      <c r="AM228" s="6">
        <v>5</v>
      </c>
      <c r="AN228" s="1">
        <v>5</v>
      </c>
      <c r="AO228" s="1">
        <v>3</v>
      </c>
      <c r="AP228" s="1">
        <v>74</v>
      </c>
      <c r="AQ228" s="1">
        <v>26</v>
      </c>
      <c r="AR228" s="1" t="s">
        <v>481</v>
      </c>
      <c r="AS228" s="1" t="s">
        <v>482</v>
      </c>
      <c r="AT228" s="1" t="s">
        <v>400</v>
      </c>
      <c r="AU228" s="1" t="s">
        <v>84</v>
      </c>
      <c r="AV228" s="1" t="s">
        <v>85</v>
      </c>
      <c r="AW228" s="1" t="s">
        <v>457</v>
      </c>
      <c r="AX228" s="1"/>
    </row>
    <row r="229" spans="1:50" ht="15" customHeight="1">
      <c r="A229" s="1">
        <v>2018</v>
      </c>
      <c r="B229" s="1" t="s">
        <v>452</v>
      </c>
      <c r="C229" s="1" t="s">
        <v>522</v>
      </c>
      <c r="D229" s="1" t="s">
        <v>72</v>
      </c>
      <c r="E229" s="1" t="s">
        <v>97</v>
      </c>
      <c r="F229" s="4">
        <v>43276</v>
      </c>
      <c r="G229" s="1" t="s">
        <v>89</v>
      </c>
      <c r="H229" s="1" t="s">
        <v>129</v>
      </c>
      <c r="I229" s="1" t="s">
        <v>135</v>
      </c>
      <c r="J229" s="5">
        <v>1</v>
      </c>
      <c r="K229" s="5">
        <v>1</v>
      </c>
      <c r="L229" s="1" t="s">
        <v>190</v>
      </c>
      <c r="M229" s="1" t="s">
        <v>108</v>
      </c>
      <c r="N229" s="1" t="s">
        <v>109</v>
      </c>
      <c r="O229" s="1"/>
      <c r="P229" s="1" t="s">
        <v>110</v>
      </c>
      <c r="Q229" s="2" t="b">
        <v>0</v>
      </c>
      <c r="R229" s="2" t="b">
        <v>0</v>
      </c>
      <c r="S229" s="1" t="s">
        <v>79</v>
      </c>
      <c r="T229" s="5">
        <v>1</v>
      </c>
      <c r="U229" s="5">
        <v>5</v>
      </c>
      <c r="V229" s="5">
        <v>6</v>
      </c>
      <c r="W229" s="1" t="s">
        <v>81</v>
      </c>
      <c r="X229" s="5">
        <v>2</v>
      </c>
      <c r="Y229" s="5">
        <v>4</v>
      </c>
      <c r="Z229" s="5">
        <v>6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6</v>
      </c>
      <c r="AK229" s="1" t="s">
        <v>81</v>
      </c>
      <c r="AL229" s="6">
        <v>6</v>
      </c>
      <c r="AM229" s="6">
        <v>11</v>
      </c>
      <c r="AN229" s="1">
        <v>2</v>
      </c>
      <c r="AO229" s="1">
        <v>4</v>
      </c>
      <c r="AP229" s="1">
        <v>26</v>
      </c>
      <c r="AQ229" s="1">
        <v>74</v>
      </c>
      <c r="AR229" s="1" t="s">
        <v>478</v>
      </c>
      <c r="AS229" s="1" t="s">
        <v>479</v>
      </c>
      <c r="AT229" s="1" t="s">
        <v>400</v>
      </c>
      <c r="AU229" s="1" t="s">
        <v>84</v>
      </c>
      <c r="AV229" s="1" t="s">
        <v>85</v>
      </c>
      <c r="AW229" s="1" t="s">
        <v>457</v>
      </c>
      <c r="AX229" s="1"/>
    </row>
    <row r="230" spans="1:50" ht="15" customHeight="1">
      <c r="A230" s="1">
        <v>2018</v>
      </c>
      <c r="B230" s="1" t="s">
        <v>452</v>
      </c>
      <c r="C230" s="1" t="s">
        <v>523</v>
      </c>
      <c r="D230" s="1" t="s">
        <v>72</v>
      </c>
      <c r="E230" s="1" t="s">
        <v>114</v>
      </c>
      <c r="F230" s="4">
        <v>43277</v>
      </c>
      <c r="G230" s="1" t="s">
        <v>221</v>
      </c>
      <c r="H230" s="1" t="s">
        <v>140</v>
      </c>
      <c r="I230" s="1" t="s">
        <v>477</v>
      </c>
      <c r="J230" s="5">
        <v>0</v>
      </c>
      <c r="K230" s="5">
        <v>2</v>
      </c>
      <c r="L230" s="1" t="s">
        <v>92</v>
      </c>
      <c r="M230" s="1" t="s">
        <v>93</v>
      </c>
      <c r="N230" s="1" t="s">
        <v>477</v>
      </c>
      <c r="O230" s="1" t="s">
        <v>477</v>
      </c>
      <c r="P230" s="1" t="s">
        <v>31</v>
      </c>
      <c r="Q230" s="2" t="b">
        <v>0</v>
      </c>
      <c r="R230" s="2" t="b">
        <v>0</v>
      </c>
      <c r="S230" s="1" t="s">
        <v>79</v>
      </c>
      <c r="T230" s="5">
        <v>8</v>
      </c>
      <c r="U230" s="5">
        <v>3</v>
      </c>
      <c r="V230" s="5">
        <v>11</v>
      </c>
      <c r="W230" s="1" t="s">
        <v>81</v>
      </c>
      <c r="X230" s="5">
        <v>4</v>
      </c>
      <c r="Y230" s="5">
        <v>2</v>
      </c>
      <c r="Z230" s="5">
        <v>6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6</v>
      </c>
      <c r="AK230" s="1" t="s">
        <v>81</v>
      </c>
      <c r="AL230" s="6">
        <v>9</v>
      </c>
      <c r="AM230" s="6">
        <v>4</v>
      </c>
      <c r="AN230" s="1">
        <v>2</v>
      </c>
      <c r="AO230" s="1">
        <v>3</v>
      </c>
      <c r="AP230" s="1">
        <v>57</v>
      </c>
      <c r="AQ230" s="1">
        <v>43</v>
      </c>
      <c r="AR230" s="1" t="s">
        <v>468</v>
      </c>
      <c r="AS230" s="1" t="s">
        <v>469</v>
      </c>
      <c r="AT230" s="1" t="s">
        <v>400</v>
      </c>
      <c r="AU230" s="1" t="s">
        <v>84</v>
      </c>
      <c r="AV230" s="1" t="s">
        <v>85</v>
      </c>
      <c r="AW230" s="1" t="s">
        <v>457</v>
      </c>
      <c r="AX230" s="1"/>
    </row>
    <row r="231" spans="1:50" ht="15" customHeight="1">
      <c r="A231" s="1">
        <v>2018</v>
      </c>
      <c r="B231" s="1" t="s">
        <v>452</v>
      </c>
      <c r="C231" s="1" t="s">
        <v>524</v>
      </c>
      <c r="D231" s="1" t="s">
        <v>72</v>
      </c>
      <c r="E231" s="1" t="s">
        <v>114</v>
      </c>
      <c r="F231" s="4">
        <v>43277</v>
      </c>
      <c r="G231" s="1" t="s">
        <v>221</v>
      </c>
      <c r="H231" s="1" t="s">
        <v>281</v>
      </c>
      <c r="I231" s="1" t="s">
        <v>160</v>
      </c>
      <c r="J231" s="5">
        <v>0</v>
      </c>
      <c r="K231" s="5">
        <v>0</v>
      </c>
      <c r="L231" s="1" t="s">
        <v>107</v>
      </c>
      <c r="M231" s="1" t="s">
        <v>108</v>
      </c>
      <c r="N231" s="1" t="s">
        <v>109</v>
      </c>
      <c r="O231" s="1"/>
      <c r="P231" s="1" t="s">
        <v>110</v>
      </c>
      <c r="Q231" s="2" t="b">
        <v>0</v>
      </c>
      <c r="R231" s="2" t="b">
        <v>0</v>
      </c>
      <c r="S231" s="1" t="s">
        <v>79</v>
      </c>
      <c r="T231" s="5">
        <v>4</v>
      </c>
      <c r="U231" s="5">
        <v>2</v>
      </c>
      <c r="V231" s="5">
        <v>6</v>
      </c>
      <c r="W231" s="1" t="s">
        <v>81</v>
      </c>
      <c r="X231" s="5">
        <v>1</v>
      </c>
      <c r="Y231" s="5">
        <v>0</v>
      </c>
      <c r="Z231" s="5">
        <v>1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1</v>
      </c>
      <c r="AK231" s="1" t="s">
        <v>81</v>
      </c>
      <c r="AL231" s="6">
        <v>3</v>
      </c>
      <c r="AM231" s="6">
        <v>10</v>
      </c>
      <c r="AN231" s="1">
        <v>2</v>
      </c>
      <c r="AO231" s="1">
        <v>3</v>
      </c>
      <c r="AP231" s="1">
        <v>32</v>
      </c>
      <c r="AQ231" s="1">
        <v>68</v>
      </c>
      <c r="AR231" s="1" t="s">
        <v>455</v>
      </c>
      <c r="AS231" s="1" t="s">
        <v>456</v>
      </c>
      <c r="AT231" s="1" t="s">
        <v>400</v>
      </c>
      <c r="AU231" s="1" t="s">
        <v>84</v>
      </c>
      <c r="AV231" s="1" t="s">
        <v>85</v>
      </c>
      <c r="AW231" s="1" t="s">
        <v>457</v>
      </c>
      <c r="AX231" s="1"/>
    </row>
    <row r="232" spans="1:50" ht="15" customHeight="1">
      <c r="A232" s="1">
        <v>2018</v>
      </c>
      <c r="B232" s="1" t="s">
        <v>452</v>
      </c>
      <c r="C232" s="1" t="s">
        <v>525</v>
      </c>
      <c r="D232" s="1" t="s">
        <v>72</v>
      </c>
      <c r="E232" s="1" t="s">
        <v>127</v>
      </c>
      <c r="F232" s="4">
        <v>43277</v>
      </c>
      <c r="G232" s="1" t="s">
        <v>89</v>
      </c>
      <c r="H232" s="1" t="s">
        <v>474</v>
      </c>
      <c r="I232" s="1" t="s">
        <v>166</v>
      </c>
      <c r="J232" s="5">
        <v>1</v>
      </c>
      <c r="K232" s="5">
        <v>2</v>
      </c>
      <c r="L232" s="1" t="s">
        <v>200</v>
      </c>
      <c r="M232" s="1" t="s">
        <v>93</v>
      </c>
      <c r="N232" s="1" t="s">
        <v>166</v>
      </c>
      <c r="O232" s="1" t="s">
        <v>166</v>
      </c>
      <c r="P232" s="1" t="s">
        <v>31</v>
      </c>
      <c r="Q232" s="2" t="b">
        <v>0</v>
      </c>
      <c r="R232" s="2" t="b">
        <v>0</v>
      </c>
      <c r="S232" s="1" t="s">
        <v>79</v>
      </c>
      <c r="T232" s="5">
        <v>10</v>
      </c>
      <c r="U232" s="5">
        <v>5</v>
      </c>
      <c r="V232" s="5">
        <v>15</v>
      </c>
      <c r="W232" s="1" t="s">
        <v>81</v>
      </c>
      <c r="X232" s="5">
        <v>3</v>
      </c>
      <c r="Y232" s="5">
        <v>2</v>
      </c>
      <c r="Z232" s="5">
        <v>5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5</v>
      </c>
      <c r="AK232" s="1" t="s">
        <v>81</v>
      </c>
      <c r="AL232" s="6">
        <v>14</v>
      </c>
      <c r="AM232" s="6">
        <v>10</v>
      </c>
      <c r="AN232" s="1">
        <v>6</v>
      </c>
      <c r="AO232" s="1">
        <v>2</v>
      </c>
      <c r="AP232" s="1">
        <v>38</v>
      </c>
      <c r="AQ232" s="1">
        <v>62</v>
      </c>
      <c r="AR232" s="1" t="s">
        <v>488</v>
      </c>
      <c r="AS232" s="1" t="s">
        <v>489</v>
      </c>
      <c r="AT232" s="1" t="s">
        <v>400</v>
      </c>
      <c r="AU232" s="1" t="s">
        <v>84</v>
      </c>
      <c r="AV232" s="1" t="s">
        <v>85</v>
      </c>
      <c r="AW232" s="1" t="s">
        <v>457</v>
      </c>
      <c r="AX232" s="1"/>
    </row>
    <row r="233" spans="1:50" ht="15" customHeight="1">
      <c r="A233" s="1">
        <v>2018</v>
      </c>
      <c r="B233" s="1" t="s">
        <v>452</v>
      </c>
      <c r="C233" s="1" t="s">
        <v>526</v>
      </c>
      <c r="D233" s="1" t="s">
        <v>72</v>
      </c>
      <c r="E233" s="1" t="s">
        <v>127</v>
      </c>
      <c r="F233" s="4">
        <v>43277</v>
      </c>
      <c r="G233" s="1" t="s">
        <v>89</v>
      </c>
      <c r="H233" s="1" t="s">
        <v>263</v>
      </c>
      <c r="I233" s="1" t="s">
        <v>115</v>
      </c>
      <c r="J233" s="5">
        <v>1</v>
      </c>
      <c r="K233" s="5">
        <v>2</v>
      </c>
      <c r="L233" s="1" t="s">
        <v>200</v>
      </c>
      <c r="M233" s="1" t="s">
        <v>93</v>
      </c>
      <c r="N233" s="1" t="s">
        <v>115</v>
      </c>
      <c r="O233" s="1" t="s">
        <v>115</v>
      </c>
      <c r="P233" s="1" t="s">
        <v>31</v>
      </c>
      <c r="Q233" s="2" t="b">
        <v>0</v>
      </c>
      <c r="R233" s="2" t="b">
        <v>0</v>
      </c>
      <c r="S233" s="1" t="s">
        <v>79</v>
      </c>
      <c r="T233" s="5">
        <v>3</v>
      </c>
      <c r="U233" s="5">
        <v>5</v>
      </c>
      <c r="V233" s="5">
        <v>8</v>
      </c>
      <c r="W233" s="1" t="s">
        <v>81</v>
      </c>
      <c r="X233" s="5">
        <v>2</v>
      </c>
      <c r="Y233" s="5">
        <v>3</v>
      </c>
      <c r="Z233" s="5">
        <v>5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5</v>
      </c>
      <c r="AK233" s="1" t="s">
        <v>81</v>
      </c>
      <c r="AL233" s="6">
        <v>8</v>
      </c>
      <c r="AM233" s="6">
        <v>6</v>
      </c>
      <c r="AN233" s="1">
        <v>3</v>
      </c>
      <c r="AO233" s="1">
        <v>4</v>
      </c>
      <c r="AP233" s="1">
        <v>33</v>
      </c>
      <c r="AQ233" s="1">
        <v>67</v>
      </c>
      <c r="AR233" s="1" t="s">
        <v>464</v>
      </c>
      <c r="AS233" s="1" t="s">
        <v>465</v>
      </c>
      <c r="AT233" s="1" t="s">
        <v>400</v>
      </c>
      <c r="AU233" s="1" t="s">
        <v>84</v>
      </c>
      <c r="AV233" s="1" t="s">
        <v>85</v>
      </c>
      <c r="AW233" s="1" t="s">
        <v>457</v>
      </c>
      <c r="AX233" s="1"/>
    </row>
    <row r="234" spans="1:50" ht="15" customHeight="1">
      <c r="A234" s="1">
        <v>2018</v>
      </c>
      <c r="B234" s="1" t="s">
        <v>452</v>
      </c>
      <c r="C234" s="1" t="s">
        <v>527</v>
      </c>
      <c r="D234" s="1" t="s">
        <v>72</v>
      </c>
      <c r="E234" s="1" t="s">
        <v>139</v>
      </c>
      <c r="F234" s="4">
        <v>43278</v>
      </c>
      <c r="G234" s="1" t="s">
        <v>221</v>
      </c>
      <c r="H234" s="1" t="s">
        <v>157</v>
      </c>
      <c r="I234" s="1" t="s">
        <v>75</v>
      </c>
      <c r="J234" s="5">
        <v>2</v>
      </c>
      <c r="K234" s="5">
        <v>0</v>
      </c>
      <c r="L234" s="1" t="s">
        <v>152</v>
      </c>
      <c r="M234" s="1" t="s">
        <v>78</v>
      </c>
      <c r="N234" s="1" t="s">
        <v>157</v>
      </c>
      <c r="O234" s="1" t="s">
        <v>157</v>
      </c>
      <c r="P234" s="1" t="s">
        <v>31</v>
      </c>
      <c r="Q234" s="2" t="b">
        <v>0</v>
      </c>
      <c r="R234" s="2" t="b">
        <v>0</v>
      </c>
      <c r="S234" s="1" t="s">
        <v>79</v>
      </c>
      <c r="T234" s="5">
        <v>3</v>
      </c>
      <c r="U234" s="5">
        <v>9</v>
      </c>
      <c r="V234" s="5">
        <v>12</v>
      </c>
      <c r="W234" s="1" t="s">
        <v>81</v>
      </c>
      <c r="X234" s="5">
        <v>4</v>
      </c>
      <c r="Y234" s="5">
        <v>0</v>
      </c>
      <c r="Z234" s="5">
        <v>4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4</v>
      </c>
      <c r="AK234" s="1" t="s">
        <v>81</v>
      </c>
      <c r="AL234" s="6">
        <v>10</v>
      </c>
      <c r="AM234" s="6">
        <v>19</v>
      </c>
      <c r="AN234" s="1">
        <v>5</v>
      </c>
      <c r="AO234" s="1">
        <v>6</v>
      </c>
      <c r="AP234" s="1">
        <v>26</v>
      </c>
      <c r="AQ234" s="1">
        <v>74</v>
      </c>
      <c r="AR234" s="1" t="s">
        <v>471</v>
      </c>
      <c r="AS234" s="1" t="s">
        <v>472</v>
      </c>
      <c r="AT234" s="1" t="s">
        <v>400</v>
      </c>
      <c r="AU234" s="1" t="s">
        <v>84</v>
      </c>
      <c r="AV234" s="1" t="s">
        <v>85</v>
      </c>
      <c r="AW234" s="1" t="s">
        <v>457</v>
      </c>
      <c r="AX234" s="1"/>
    </row>
    <row r="235" spans="1:50" ht="15" customHeight="1">
      <c r="A235" s="1">
        <v>2018</v>
      </c>
      <c r="B235" s="1" t="s">
        <v>452</v>
      </c>
      <c r="C235" s="1" t="s">
        <v>528</v>
      </c>
      <c r="D235" s="1" t="s">
        <v>72</v>
      </c>
      <c r="E235" s="1" t="s">
        <v>139</v>
      </c>
      <c r="F235" s="4">
        <v>43278</v>
      </c>
      <c r="G235" s="1" t="s">
        <v>387</v>
      </c>
      <c r="H235" s="1" t="s">
        <v>128</v>
      </c>
      <c r="I235" s="1" t="s">
        <v>106</v>
      </c>
      <c r="J235" s="5">
        <v>0</v>
      </c>
      <c r="K235" s="5">
        <v>3</v>
      </c>
      <c r="L235" s="1" t="s">
        <v>148</v>
      </c>
      <c r="M235" s="1" t="s">
        <v>93</v>
      </c>
      <c r="N235" s="1" t="s">
        <v>106</v>
      </c>
      <c r="O235" s="1" t="s">
        <v>106</v>
      </c>
      <c r="P235" s="1" t="s">
        <v>31</v>
      </c>
      <c r="Q235" s="2" t="b">
        <v>0</v>
      </c>
      <c r="R235" s="2" t="b">
        <v>0</v>
      </c>
      <c r="S235" s="1" t="s">
        <v>79</v>
      </c>
      <c r="T235" s="5">
        <v>7</v>
      </c>
      <c r="U235" s="5">
        <v>3</v>
      </c>
      <c r="V235" s="5">
        <v>10</v>
      </c>
      <c r="W235" s="1" t="s">
        <v>81</v>
      </c>
      <c r="X235" s="5">
        <v>3</v>
      </c>
      <c r="Y235" s="5">
        <v>2</v>
      </c>
      <c r="Z235" s="5">
        <v>5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5</v>
      </c>
      <c r="AK235" s="1" t="s">
        <v>81</v>
      </c>
      <c r="AL235" s="6">
        <v>11</v>
      </c>
      <c r="AM235" s="6">
        <v>14</v>
      </c>
      <c r="AN235" s="1">
        <v>3</v>
      </c>
      <c r="AO235" s="1">
        <v>5</v>
      </c>
      <c r="AP235" s="1">
        <v>66</v>
      </c>
      <c r="AQ235" s="1">
        <v>34</v>
      </c>
      <c r="AR235" s="1" t="s">
        <v>460</v>
      </c>
      <c r="AS235" s="1" t="s">
        <v>461</v>
      </c>
      <c r="AT235" s="1" t="s">
        <v>400</v>
      </c>
      <c r="AU235" s="1" t="s">
        <v>84</v>
      </c>
      <c r="AV235" s="1" t="s">
        <v>85</v>
      </c>
      <c r="AW235" s="1" t="s">
        <v>457</v>
      </c>
      <c r="AX235" s="1"/>
    </row>
    <row r="236" spans="1:50" ht="15" customHeight="1">
      <c r="A236" s="1">
        <v>2018</v>
      </c>
      <c r="B236" s="1" t="s">
        <v>452</v>
      </c>
      <c r="C236" s="1" t="s">
        <v>529</v>
      </c>
      <c r="D236" s="1" t="s">
        <v>72</v>
      </c>
      <c r="E236" s="1" t="s">
        <v>145</v>
      </c>
      <c r="F236" s="4">
        <v>43278</v>
      </c>
      <c r="G236" s="1" t="s">
        <v>89</v>
      </c>
      <c r="H236" s="1" t="s">
        <v>274</v>
      </c>
      <c r="I236" s="1" t="s">
        <v>165</v>
      </c>
      <c r="J236" s="5">
        <v>0</v>
      </c>
      <c r="K236" s="5">
        <v>2</v>
      </c>
      <c r="L236" s="1" t="s">
        <v>92</v>
      </c>
      <c r="M236" s="1" t="s">
        <v>93</v>
      </c>
      <c r="N236" s="1" t="s">
        <v>165</v>
      </c>
      <c r="O236" s="1" t="s">
        <v>165</v>
      </c>
      <c r="P236" s="1" t="s">
        <v>31</v>
      </c>
      <c r="Q236" s="2" t="b">
        <v>0</v>
      </c>
      <c r="R236" s="2" t="b">
        <v>0</v>
      </c>
      <c r="S236" s="1" t="s">
        <v>79</v>
      </c>
      <c r="T236" s="5">
        <v>5</v>
      </c>
      <c r="U236" s="5">
        <v>9</v>
      </c>
      <c r="V236" s="5">
        <v>14</v>
      </c>
      <c r="W236" s="1" t="s">
        <v>81</v>
      </c>
      <c r="X236" s="5">
        <v>3</v>
      </c>
      <c r="Y236" s="5">
        <v>0</v>
      </c>
      <c r="Z236" s="5">
        <v>3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3</v>
      </c>
      <c r="AK236" s="1" t="s">
        <v>81</v>
      </c>
      <c r="AL236" s="6">
        <v>7</v>
      </c>
      <c r="AM236" s="6">
        <v>9</v>
      </c>
      <c r="AN236" s="1">
        <v>2</v>
      </c>
      <c r="AO236" s="1">
        <v>6</v>
      </c>
      <c r="AP236" s="1">
        <v>42</v>
      </c>
      <c r="AQ236" s="1">
        <v>58</v>
      </c>
      <c r="AR236" s="1" t="s">
        <v>475</v>
      </c>
      <c r="AS236" s="1" t="s">
        <v>456</v>
      </c>
      <c r="AT236" s="1" t="s">
        <v>400</v>
      </c>
      <c r="AU236" s="1" t="s">
        <v>84</v>
      </c>
      <c r="AV236" s="1" t="s">
        <v>85</v>
      </c>
      <c r="AW236" s="1" t="s">
        <v>457</v>
      </c>
      <c r="AX236" s="1"/>
    </row>
    <row r="237" spans="1:50" ht="15" customHeight="1">
      <c r="A237" s="1">
        <v>2018</v>
      </c>
      <c r="B237" s="1" t="s">
        <v>452</v>
      </c>
      <c r="C237" s="1" t="s">
        <v>530</v>
      </c>
      <c r="D237" s="1" t="s">
        <v>72</v>
      </c>
      <c r="E237" s="1" t="s">
        <v>145</v>
      </c>
      <c r="F237" s="4">
        <v>43278</v>
      </c>
      <c r="G237" s="1" t="s">
        <v>89</v>
      </c>
      <c r="H237" s="1" t="s">
        <v>161</v>
      </c>
      <c r="I237" s="1" t="s">
        <v>76</v>
      </c>
      <c r="J237" s="5">
        <v>2</v>
      </c>
      <c r="K237" s="5">
        <v>2</v>
      </c>
      <c r="L237" s="1" t="s">
        <v>177</v>
      </c>
      <c r="M237" s="1" t="s">
        <v>108</v>
      </c>
      <c r="N237" s="1" t="s">
        <v>109</v>
      </c>
      <c r="O237" s="1"/>
      <c r="P237" s="1" t="s">
        <v>110</v>
      </c>
      <c r="Q237" s="2" t="b">
        <v>0</v>
      </c>
      <c r="R237" s="2" t="b">
        <v>0</v>
      </c>
      <c r="S237" s="1" t="s">
        <v>79</v>
      </c>
      <c r="T237" s="5">
        <v>6</v>
      </c>
      <c r="U237" s="5">
        <v>5</v>
      </c>
      <c r="V237" s="5">
        <v>11</v>
      </c>
      <c r="W237" s="1" t="s">
        <v>81</v>
      </c>
      <c r="X237" s="5">
        <v>3</v>
      </c>
      <c r="Y237" s="5">
        <v>3</v>
      </c>
      <c r="Z237" s="5">
        <v>6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6</v>
      </c>
      <c r="AK237" s="1" t="s">
        <v>81</v>
      </c>
      <c r="AL237" s="6">
        <v>9</v>
      </c>
      <c r="AM237" s="6">
        <v>12</v>
      </c>
      <c r="AN237" s="1">
        <v>3</v>
      </c>
      <c r="AO237" s="1">
        <v>6</v>
      </c>
      <c r="AP237" s="1">
        <v>62</v>
      </c>
      <c r="AQ237" s="1">
        <v>38</v>
      </c>
      <c r="AR237" s="1" t="s">
        <v>491</v>
      </c>
      <c r="AS237" s="1" t="s">
        <v>492</v>
      </c>
      <c r="AT237" s="1" t="s">
        <v>400</v>
      </c>
      <c r="AU237" s="1" t="s">
        <v>84</v>
      </c>
      <c r="AV237" s="1" t="s">
        <v>85</v>
      </c>
      <c r="AW237" s="1" t="s">
        <v>457</v>
      </c>
      <c r="AX237" s="1"/>
    </row>
    <row r="238" spans="1:50" ht="15" customHeight="1">
      <c r="A238" s="1">
        <v>2018</v>
      </c>
      <c r="B238" s="1" t="s">
        <v>452</v>
      </c>
      <c r="C238" s="1" t="s">
        <v>531</v>
      </c>
      <c r="D238" s="1" t="s">
        <v>72</v>
      </c>
      <c r="E238" s="1" t="s">
        <v>170</v>
      </c>
      <c r="F238" s="4">
        <v>43279</v>
      </c>
      <c r="G238" s="1" t="s">
        <v>221</v>
      </c>
      <c r="H238" s="1" t="s">
        <v>141</v>
      </c>
      <c r="I238" s="1" t="s">
        <v>90</v>
      </c>
      <c r="J238" s="5">
        <v>0</v>
      </c>
      <c r="K238" s="5">
        <v>1</v>
      </c>
      <c r="L238" s="1" t="s">
        <v>123</v>
      </c>
      <c r="M238" s="1" t="s">
        <v>93</v>
      </c>
      <c r="N238" s="1" t="s">
        <v>90</v>
      </c>
      <c r="O238" s="1" t="s">
        <v>90</v>
      </c>
      <c r="P238" s="1" t="s">
        <v>31</v>
      </c>
      <c r="Q238" s="2" t="b">
        <v>0</v>
      </c>
      <c r="R238" s="2" t="b">
        <v>0</v>
      </c>
      <c r="S238" s="1" t="s">
        <v>79</v>
      </c>
      <c r="T238" s="5">
        <v>5</v>
      </c>
      <c r="U238" s="5">
        <v>7</v>
      </c>
      <c r="V238" s="5">
        <v>12</v>
      </c>
      <c r="W238" s="1" t="s">
        <v>81</v>
      </c>
      <c r="X238" s="5">
        <v>1</v>
      </c>
      <c r="Y238" s="5">
        <v>0</v>
      </c>
      <c r="Z238" s="5">
        <v>1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1</v>
      </c>
      <c r="AK238" s="1" t="s">
        <v>81</v>
      </c>
      <c r="AL238" s="6">
        <v>7</v>
      </c>
      <c r="AM238" s="6">
        <v>7</v>
      </c>
      <c r="AN238" s="1">
        <v>3</v>
      </c>
      <c r="AO238" s="1">
        <v>2</v>
      </c>
      <c r="AP238" s="1">
        <v>54</v>
      </c>
      <c r="AQ238" s="1">
        <v>46</v>
      </c>
      <c r="AR238" s="1" t="s">
        <v>496</v>
      </c>
      <c r="AS238" s="1" t="s">
        <v>497</v>
      </c>
      <c r="AT238" s="1" t="s">
        <v>400</v>
      </c>
      <c r="AU238" s="1" t="s">
        <v>84</v>
      </c>
      <c r="AV238" s="1" t="s">
        <v>85</v>
      </c>
      <c r="AW238" s="1" t="s">
        <v>457</v>
      </c>
      <c r="AX238" s="1"/>
    </row>
    <row r="239" spans="1:50" ht="15" customHeight="1">
      <c r="A239" s="1">
        <v>2018</v>
      </c>
      <c r="B239" s="1" t="s">
        <v>452</v>
      </c>
      <c r="C239" s="1" t="s">
        <v>532</v>
      </c>
      <c r="D239" s="1" t="s">
        <v>72</v>
      </c>
      <c r="E239" s="1" t="s">
        <v>170</v>
      </c>
      <c r="F239" s="4">
        <v>43279</v>
      </c>
      <c r="G239" s="1" t="s">
        <v>74</v>
      </c>
      <c r="H239" s="1" t="s">
        <v>500</v>
      </c>
      <c r="I239" s="1" t="s">
        <v>367</v>
      </c>
      <c r="J239" s="5">
        <v>0</v>
      </c>
      <c r="K239" s="5">
        <v>1</v>
      </c>
      <c r="L239" s="1" t="s">
        <v>123</v>
      </c>
      <c r="M239" s="1" t="s">
        <v>93</v>
      </c>
      <c r="N239" s="1" t="s">
        <v>367</v>
      </c>
      <c r="O239" s="1" t="s">
        <v>367</v>
      </c>
      <c r="P239" s="1" t="s">
        <v>31</v>
      </c>
      <c r="Q239" s="2" t="b">
        <v>0</v>
      </c>
      <c r="R239" s="2" t="b">
        <v>0</v>
      </c>
      <c r="S239" s="1" t="s">
        <v>79</v>
      </c>
      <c r="T239" s="5">
        <v>1</v>
      </c>
      <c r="U239" s="5">
        <v>3</v>
      </c>
      <c r="V239" s="5">
        <v>4</v>
      </c>
      <c r="W239" s="1" t="s">
        <v>81</v>
      </c>
      <c r="X239" s="5">
        <v>1</v>
      </c>
      <c r="Y239" s="5">
        <v>1</v>
      </c>
      <c r="Z239" s="5">
        <v>2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2</v>
      </c>
      <c r="AK239" s="1" t="s">
        <v>81</v>
      </c>
      <c r="AL239" s="6">
        <v>7</v>
      </c>
      <c r="AM239" s="6">
        <v>3</v>
      </c>
      <c r="AN239" s="1">
        <v>3</v>
      </c>
      <c r="AO239" s="1">
        <v>2</v>
      </c>
      <c r="AP239" s="1">
        <v>40</v>
      </c>
      <c r="AQ239" s="1">
        <v>60</v>
      </c>
      <c r="AR239" s="1" t="s">
        <v>484</v>
      </c>
      <c r="AS239" s="1" t="s">
        <v>485</v>
      </c>
      <c r="AT239" s="1" t="s">
        <v>400</v>
      </c>
      <c r="AU239" s="1" t="s">
        <v>84</v>
      </c>
      <c r="AV239" s="1" t="s">
        <v>85</v>
      </c>
      <c r="AW239" s="1" t="s">
        <v>457</v>
      </c>
      <c r="AX239" s="1"/>
    </row>
    <row r="240" spans="1:50" ht="15" customHeight="1">
      <c r="A240" s="1">
        <v>2018</v>
      </c>
      <c r="B240" s="1" t="s">
        <v>452</v>
      </c>
      <c r="C240" s="1" t="s">
        <v>533</v>
      </c>
      <c r="D240" s="1" t="s">
        <v>72</v>
      </c>
      <c r="E240" s="1" t="s">
        <v>156</v>
      </c>
      <c r="F240" s="4">
        <v>43279</v>
      </c>
      <c r="G240" s="1" t="s">
        <v>244</v>
      </c>
      <c r="H240" s="1" t="s">
        <v>99</v>
      </c>
      <c r="I240" s="1" t="s">
        <v>397</v>
      </c>
      <c r="J240" s="5">
        <v>0</v>
      </c>
      <c r="K240" s="5">
        <v>1</v>
      </c>
      <c r="L240" s="1" t="s">
        <v>123</v>
      </c>
      <c r="M240" s="1" t="s">
        <v>93</v>
      </c>
      <c r="N240" s="1" t="s">
        <v>397</v>
      </c>
      <c r="O240" s="1" t="s">
        <v>397</v>
      </c>
      <c r="P240" s="1" t="s">
        <v>31</v>
      </c>
      <c r="Q240" s="2" t="b">
        <v>0</v>
      </c>
      <c r="R240" s="2" t="b">
        <v>0</v>
      </c>
      <c r="S240" s="1" t="s">
        <v>79</v>
      </c>
      <c r="T240" s="5">
        <v>7</v>
      </c>
      <c r="U240" s="5">
        <v>2</v>
      </c>
      <c r="V240" s="5">
        <v>9</v>
      </c>
      <c r="W240" s="1" t="s">
        <v>81</v>
      </c>
      <c r="X240" s="5">
        <v>0</v>
      </c>
      <c r="Y240" s="5">
        <v>2</v>
      </c>
      <c r="Z240" s="5">
        <v>2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2</v>
      </c>
      <c r="AK240" s="1" t="s">
        <v>81</v>
      </c>
      <c r="AL240" s="6">
        <v>8</v>
      </c>
      <c r="AM240" s="6">
        <v>7</v>
      </c>
      <c r="AN240" s="1">
        <v>2</v>
      </c>
      <c r="AO240" s="1">
        <v>4</v>
      </c>
      <c r="AP240" s="1">
        <v>46</v>
      </c>
      <c r="AQ240" s="1">
        <v>54</v>
      </c>
      <c r="AR240" s="1" t="s">
        <v>481</v>
      </c>
      <c r="AS240" s="1" t="s">
        <v>482</v>
      </c>
      <c r="AT240" s="1" t="s">
        <v>400</v>
      </c>
      <c r="AU240" s="1" t="s">
        <v>84</v>
      </c>
      <c r="AV240" s="1" t="s">
        <v>85</v>
      </c>
      <c r="AW240" s="1" t="s">
        <v>457</v>
      </c>
      <c r="AX240" s="1"/>
    </row>
    <row r="241" spans="1:50" ht="15" customHeight="1">
      <c r="A241" s="1">
        <v>2018</v>
      </c>
      <c r="B241" s="1" t="s">
        <v>452</v>
      </c>
      <c r="C241" s="1" t="s">
        <v>534</v>
      </c>
      <c r="D241" s="1" t="s">
        <v>72</v>
      </c>
      <c r="E241" s="1" t="s">
        <v>156</v>
      </c>
      <c r="F241" s="4">
        <v>43279</v>
      </c>
      <c r="G241" s="1" t="s">
        <v>89</v>
      </c>
      <c r="H241" s="1" t="s">
        <v>494</v>
      </c>
      <c r="I241" s="1" t="s">
        <v>175</v>
      </c>
      <c r="J241" s="5">
        <v>1</v>
      </c>
      <c r="K241" s="5">
        <v>2</v>
      </c>
      <c r="L241" s="1" t="s">
        <v>200</v>
      </c>
      <c r="M241" s="1" t="s">
        <v>93</v>
      </c>
      <c r="N241" s="1" t="s">
        <v>175</v>
      </c>
      <c r="O241" s="1" t="s">
        <v>175</v>
      </c>
      <c r="P241" s="1" t="s">
        <v>31</v>
      </c>
      <c r="Q241" s="2" t="b">
        <v>0</v>
      </c>
      <c r="R241" s="2" t="b">
        <v>0</v>
      </c>
      <c r="S241" s="1" t="s">
        <v>79</v>
      </c>
      <c r="T241" s="5">
        <v>0</v>
      </c>
      <c r="U241" s="5">
        <v>6</v>
      </c>
      <c r="V241" s="5">
        <v>6</v>
      </c>
      <c r="W241" s="1" t="s">
        <v>81</v>
      </c>
      <c r="X241" s="5">
        <v>3</v>
      </c>
      <c r="Y241" s="5">
        <v>3</v>
      </c>
      <c r="Z241" s="5">
        <v>6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6</v>
      </c>
      <c r="AK241" s="1" t="s">
        <v>81</v>
      </c>
      <c r="AL241" s="6">
        <v>8</v>
      </c>
      <c r="AM241" s="6">
        <v>11</v>
      </c>
      <c r="AN241" s="1">
        <v>4</v>
      </c>
      <c r="AO241" s="1">
        <v>6</v>
      </c>
      <c r="AP241" s="1">
        <v>30</v>
      </c>
      <c r="AQ241" s="1">
        <v>70</v>
      </c>
      <c r="AR241" s="1" t="s">
        <v>478</v>
      </c>
      <c r="AS241" s="1" t="s">
        <v>479</v>
      </c>
      <c r="AT241" s="1" t="s">
        <v>400</v>
      </c>
      <c r="AU241" s="1" t="s">
        <v>84</v>
      </c>
      <c r="AV241" s="1" t="s">
        <v>85</v>
      </c>
      <c r="AW241" s="1" t="s">
        <v>457</v>
      </c>
      <c r="AX241" s="1"/>
    </row>
    <row r="242" spans="1:50" ht="15" customHeight="1">
      <c r="A242" s="1">
        <v>2018</v>
      </c>
      <c r="B242" s="1" t="s">
        <v>452</v>
      </c>
      <c r="C242" s="1" t="s">
        <v>535</v>
      </c>
      <c r="D242" s="1" t="s">
        <v>219</v>
      </c>
      <c r="E242" s="1" t="s">
        <v>220</v>
      </c>
      <c r="F242" s="4">
        <v>43281</v>
      </c>
      <c r="G242" s="1" t="s">
        <v>221</v>
      </c>
      <c r="H242" s="1" t="s">
        <v>160</v>
      </c>
      <c r="I242" s="1" t="s">
        <v>115</v>
      </c>
      <c r="J242" s="5">
        <v>4</v>
      </c>
      <c r="K242" s="5">
        <v>3</v>
      </c>
      <c r="L242" s="1" t="s">
        <v>446</v>
      </c>
      <c r="M242" s="1" t="s">
        <v>78</v>
      </c>
      <c r="N242" s="1" t="s">
        <v>160</v>
      </c>
      <c r="O242" s="1" t="s">
        <v>160</v>
      </c>
      <c r="P242" s="1" t="s">
        <v>31</v>
      </c>
      <c r="Q242" s="2" t="b">
        <v>0</v>
      </c>
      <c r="R242" s="2" t="b">
        <v>0</v>
      </c>
      <c r="S242" s="1" t="s">
        <v>79</v>
      </c>
      <c r="T242" s="5">
        <v>0</v>
      </c>
      <c r="U242" s="5">
        <v>4</v>
      </c>
      <c r="V242" s="5">
        <v>4</v>
      </c>
      <c r="W242" s="1" t="s">
        <v>81</v>
      </c>
      <c r="X242" s="5">
        <v>3</v>
      </c>
      <c r="Y242" s="5">
        <v>5</v>
      </c>
      <c r="Z242" s="5">
        <v>8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8</v>
      </c>
      <c r="AK242" s="1" t="s">
        <v>81</v>
      </c>
      <c r="AL242" s="6">
        <v>8</v>
      </c>
      <c r="AM242" s="6">
        <v>5</v>
      </c>
      <c r="AN242" s="1">
        <v>4</v>
      </c>
      <c r="AO242" s="1">
        <v>4</v>
      </c>
      <c r="AP242" s="1">
        <v>39</v>
      </c>
      <c r="AQ242" s="1">
        <v>61</v>
      </c>
      <c r="AR242" s="1" t="s">
        <v>471</v>
      </c>
      <c r="AS242" s="1" t="s">
        <v>472</v>
      </c>
      <c r="AT242" s="1" t="s">
        <v>400</v>
      </c>
      <c r="AU242" s="1" t="s">
        <v>84</v>
      </c>
      <c r="AV242" s="1" t="s">
        <v>85</v>
      </c>
      <c r="AW242" s="1" t="s">
        <v>457</v>
      </c>
      <c r="AX242" s="1"/>
    </row>
    <row r="243" spans="1:50" ht="15" customHeight="1">
      <c r="A243" s="1">
        <v>2018</v>
      </c>
      <c r="B243" s="1" t="s">
        <v>452</v>
      </c>
      <c r="C243" s="1" t="s">
        <v>536</v>
      </c>
      <c r="D243" s="1" t="s">
        <v>219</v>
      </c>
      <c r="E243" s="1" t="s">
        <v>220</v>
      </c>
      <c r="F243" s="4">
        <v>43281</v>
      </c>
      <c r="G243" s="1" t="s">
        <v>89</v>
      </c>
      <c r="H243" s="1" t="s">
        <v>254</v>
      </c>
      <c r="I243" s="1" t="s">
        <v>135</v>
      </c>
      <c r="J243" s="5">
        <v>2</v>
      </c>
      <c r="K243" s="5">
        <v>1</v>
      </c>
      <c r="L243" s="1" t="s">
        <v>117</v>
      </c>
      <c r="M243" s="1" t="s">
        <v>78</v>
      </c>
      <c r="N243" s="1" t="s">
        <v>254</v>
      </c>
      <c r="O243" s="1" t="s">
        <v>254</v>
      </c>
      <c r="P243" s="1" t="s">
        <v>31</v>
      </c>
      <c r="Q243" s="2" t="b">
        <v>0</v>
      </c>
      <c r="R243" s="2" t="b">
        <v>0</v>
      </c>
      <c r="S243" s="1" t="s">
        <v>79</v>
      </c>
      <c r="T243" s="5">
        <v>2</v>
      </c>
      <c r="U243" s="5">
        <v>10</v>
      </c>
      <c r="V243" s="5">
        <v>12</v>
      </c>
      <c r="W243" s="1" t="s">
        <v>81</v>
      </c>
      <c r="X243" s="5">
        <v>0</v>
      </c>
      <c r="Y243" s="5">
        <v>1</v>
      </c>
      <c r="Z243" s="5">
        <v>1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1</v>
      </c>
      <c r="AK243" s="1" t="s">
        <v>81</v>
      </c>
      <c r="AL243" s="6">
        <v>5</v>
      </c>
      <c r="AM243" s="6">
        <v>13</v>
      </c>
      <c r="AN243" s="1">
        <v>3</v>
      </c>
      <c r="AO243" s="1">
        <v>5</v>
      </c>
      <c r="AP243" s="1">
        <v>32</v>
      </c>
      <c r="AQ243" s="1">
        <v>68</v>
      </c>
      <c r="AR243" s="1" t="s">
        <v>468</v>
      </c>
      <c r="AS243" s="1" t="s">
        <v>469</v>
      </c>
      <c r="AT243" s="1" t="s">
        <v>400</v>
      </c>
      <c r="AU243" s="1" t="s">
        <v>84</v>
      </c>
      <c r="AV243" s="1" t="s">
        <v>85</v>
      </c>
      <c r="AW243" s="1" t="s">
        <v>457</v>
      </c>
      <c r="AX243" s="1"/>
    </row>
    <row r="244" spans="1:50" ht="15" customHeight="1">
      <c r="A244" s="1">
        <v>2018</v>
      </c>
      <c r="B244" s="1" t="s">
        <v>452</v>
      </c>
      <c r="C244" s="1" t="s">
        <v>537</v>
      </c>
      <c r="D244" s="1" t="s">
        <v>219</v>
      </c>
      <c r="E244" s="1" t="s">
        <v>220</v>
      </c>
      <c r="F244" s="4">
        <v>43282</v>
      </c>
      <c r="G244" s="1" t="s">
        <v>221</v>
      </c>
      <c r="H244" s="1" t="s">
        <v>171</v>
      </c>
      <c r="I244" s="1" t="s">
        <v>400</v>
      </c>
      <c r="J244" s="5">
        <v>1</v>
      </c>
      <c r="K244" s="5">
        <v>1</v>
      </c>
      <c r="L244" s="1" t="s">
        <v>190</v>
      </c>
      <c r="M244" s="1" t="s">
        <v>108</v>
      </c>
      <c r="N244" s="1" t="s">
        <v>400</v>
      </c>
      <c r="O244" s="1" t="s">
        <v>400</v>
      </c>
      <c r="P244" s="1" t="s">
        <v>228</v>
      </c>
      <c r="Q244" s="2" t="b">
        <v>1</v>
      </c>
      <c r="R244" s="2" t="b">
        <v>1</v>
      </c>
      <c r="S244" s="1" t="s">
        <v>538</v>
      </c>
      <c r="T244" s="5">
        <v>6</v>
      </c>
      <c r="U244" s="5">
        <v>5</v>
      </c>
      <c r="V244" s="5">
        <v>11</v>
      </c>
      <c r="W244" s="1" t="s">
        <v>81</v>
      </c>
      <c r="X244" s="5">
        <v>1</v>
      </c>
      <c r="Y244" s="5">
        <v>2</v>
      </c>
      <c r="Z244" s="5">
        <v>3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3</v>
      </c>
      <c r="AK244" s="1" t="s">
        <v>81</v>
      </c>
      <c r="AL244" s="6">
        <v>16</v>
      </c>
      <c r="AM244" s="6">
        <v>5</v>
      </c>
      <c r="AN244" s="1">
        <v>9</v>
      </c>
      <c r="AO244" s="1">
        <v>1</v>
      </c>
      <c r="AP244" s="1">
        <v>78</v>
      </c>
      <c r="AQ244" s="1">
        <v>22</v>
      </c>
      <c r="AR244" s="1" t="s">
        <v>455</v>
      </c>
      <c r="AS244" s="1" t="s">
        <v>456</v>
      </c>
      <c r="AT244" s="1" t="s">
        <v>400</v>
      </c>
      <c r="AU244" s="1" t="s">
        <v>84</v>
      </c>
      <c r="AV244" s="1" t="s">
        <v>85</v>
      </c>
      <c r="AW244" s="1" t="s">
        <v>457</v>
      </c>
      <c r="AX244" s="1"/>
    </row>
    <row r="245" spans="1:50" ht="15" customHeight="1">
      <c r="A245" s="1">
        <v>2018</v>
      </c>
      <c r="B245" s="1" t="s">
        <v>452</v>
      </c>
      <c r="C245" s="1" t="s">
        <v>539</v>
      </c>
      <c r="D245" s="1" t="s">
        <v>219</v>
      </c>
      <c r="E245" s="1" t="s">
        <v>220</v>
      </c>
      <c r="F245" s="4">
        <v>43282</v>
      </c>
      <c r="G245" s="1" t="s">
        <v>89</v>
      </c>
      <c r="H245" s="1" t="s">
        <v>166</v>
      </c>
      <c r="I245" s="1" t="s">
        <v>281</v>
      </c>
      <c r="J245" s="5">
        <v>1</v>
      </c>
      <c r="K245" s="5">
        <v>1</v>
      </c>
      <c r="L245" s="1" t="s">
        <v>190</v>
      </c>
      <c r="M245" s="1" t="s">
        <v>108</v>
      </c>
      <c r="N245" s="1" t="s">
        <v>166</v>
      </c>
      <c r="O245" s="1" t="s">
        <v>166</v>
      </c>
      <c r="P245" s="1" t="s">
        <v>228</v>
      </c>
      <c r="Q245" s="2" t="b">
        <v>1</v>
      </c>
      <c r="R245" s="2" t="b">
        <v>1</v>
      </c>
      <c r="S245" s="1" t="s">
        <v>207</v>
      </c>
      <c r="T245" s="5">
        <v>5</v>
      </c>
      <c r="U245" s="5">
        <v>4</v>
      </c>
      <c r="V245" s="5">
        <v>9</v>
      </c>
      <c r="W245" s="1" t="s">
        <v>81</v>
      </c>
      <c r="X245" s="5">
        <v>0</v>
      </c>
      <c r="Y245" s="5">
        <v>1</v>
      </c>
      <c r="Z245" s="5">
        <v>1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1</v>
      </c>
      <c r="AK245" s="1" t="s">
        <v>81</v>
      </c>
      <c r="AL245" s="6">
        <v>13</v>
      </c>
      <c r="AM245" s="6">
        <v>12</v>
      </c>
      <c r="AN245" s="1">
        <v>6</v>
      </c>
      <c r="AO245" s="1">
        <v>3</v>
      </c>
      <c r="AP245" s="1">
        <v>53</v>
      </c>
      <c r="AQ245" s="1">
        <v>47</v>
      </c>
      <c r="AR245" s="1" t="s">
        <v>491</v>
      </c>
      <c r="AS245" s="1" t="s">
        <v>492</v>
      </c>
      <c r="AT245" s="1" t="s">
        <v>400</v>
      </c>
      <c r="AU245" s="1" t="s">
        <v>84</v>
      </c>
      <c r="AV245" s="1" t="s">
        <v>85</v>
      </c>
      <c r="AW245" s="1" t="s">
        <v>457</v>
      </c>
      <c r="AX245" s="1"/>
    </row>
    <row r="246" spans="1:50" ht="15" customHeight="1">
      <c r="A246" s="1">
        <v>2018</v>
      </c>
      <c r="B246" s="1" t="s">
        <v>452</v>
      </c>
      <c r="C246" s="1" t="s">
        <v>540</v>
      </c>
      <c r="D246" s="1" t="s">
        <v>219</v>
      </c>
      <c r="E246" s="1" t="s">
        <v>220</v>
      </c>
      <c r="F246" s="4">
        <v>43283</v>
      </c>
      <c r="G246" s="1" t="s">
        <v>74</v>
      </c>
      <c r="H246" s="1" t="s">
        <v>165</v>
      </c>
      <c r="I246" s="1" t="s">
        <v>128</v>
      </c>
      <c r="J246" s="5">
        <v>2</v>
      </c>
      <c r="K246" s="5">
        <v>0</v>
      </c>
      <c r="L246" s="1" t="s">
        <v>152</v>
      </c>
      <c r="M246" s="1" t="s">
        <v>78</v>
      </c>
      <c r="N246" s="1" t="s">
        <v>165</v>
      </c>
      <c r="O246" s="1" t="s">
        <v>165</v>
      </c>
      <c r="P246" s="1" t="s">
        <v>31</v>
      </c>
      <c r="Q246" s="2" t="b">
        <v>0</v>
      </c>
      <c r="R246" s="2" t="b">
        <v>0</v>
      </c>
      <c r="S246" s="1" t="s">
        <v>79</v>
      </c>
      <c r="T246" s="5">
        <v>8</v>
      </c>
      <c r="U246" s="5">
        <v>7</v>
      </c>
      <c r="V246" s="5">
        <v>15</v>
      </c>
      <c r="W246" s="1" t="s">
        <v>81</v>
      </c>
      <c r="X246" s="5">
        <v>2</v>
      </c>
      <c r="Y246" s="5">
        <v>4</v>
      </c>
      <c r="Z246" s="5">
        <v>6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6</v>
      </c>
      <c r="AK246" s="1" t="s">
        <v>81</v>
      </c>
      <c r="AL246" s="6">
        <v>16</v>
      </c>
      <c r="AM246" s="6">
        <v>6</v>
      </c>
      <c r="AN246" s="1">
        <v>10</v>
      </c>
      <c r="AO246" s="1">
        <v>1</v>
      </c>
      <c r="AP246" s="1">
        <v>48</v>
      </c>
      <c r="AQ246" s="1">
        <v>52</v>
      </c>
      <c r="AR246" s="1" t="s">
        <v>484</v>
      </c>
      <c r="AS246" s="1" t="s">
        <v>485</v>
      </c>
      <c r="AT246" s="1" t="s">
        <v>400</v>
      </c>
      <c r="AU246" s="1" t="s">
        <v>84</v>
      </c>
      <c r="AV246" s="1" t="s">
        <v>85</v>
      </c>
      <c r="AW246" s="1" t="s">
        <v>457</v>
      </c>
      <c r="AX246" s="1"/>
    </row>
    <row r="247" spans="1:50" ht="15" customHeight="1">
      <c r="A247" s="1">
        <v>2018</v>
      </c>
      <c r="B247" s="1" t="s">
        <v>452</v>
      </c>
      <c r="C247" s="1" t="s">
        <v>541</v>
      </c>
      <c r="D247" s="1" t="s">
        <v>219</v>
      </c>
      <c r="E247" s="1" t="s">
        <v>220</v>
      </c>
      <c r="F247" s="4">
        <v>43283</v>
      </c>
      <c r="G247" s="1" t="s">
        <v>89</v>
      </c>
      <c r="H247" s="1" t="s">
        <v>397</v>
      </c>
      <c r="I247" s="1" t="s">
        <v>141</v>
      </c>
      <c r="J247" s="5">
        <v>3</v>
      </c>
      <c r="K247" s="5">
        <v>2</v>
      </c>
      <c r="L247" s="1" t="s">
        <v>207</v>
      </c>
      <c r="M247" s="1" t="s">
        <v>78</v>
      </c>
      <c r="N247" s="1" t="s">
        <v>397</v>
      </c>
      <c r="O247" s="1" t="s">
        <v>397</v>
      </c>
      <c r="P247" s="1" t="s">
        <v>31</v>
      </c>
      <c r="Q247" s="2" t="b">
        <v>0</v>
      </c>
      <c r="R247" s="2" t="b">
        <v>0</v>
      </c>
      <c r="S247" s="1" t="s">
        <v>79</v>
      </c>
      <c r="T247" s="5">
        <v>10</v>
      </c>
      <c r="U247" s="5">
        <v>6</v>
      </c>
      <c r="V247" s="5">
        <v>16</v>
      </c>
      <c r="W247" s="1" t="s">
        <v>81</v>
      </c>
      <c r="X247" s="5">
        <v>0</v>
      </c>
      <c r="Y247" s="5">
        <v>1</v>
      </c>
      <c r="Z247" s="5">
        <v>1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1</v>
      </c>
      <c r="AK247" s="1" t="s">
        <v>81</v>
      </c>
      <c r="AL247" s="6">
        <v>17</v>
      </c>
      <c r="AM247" s="6">
        <v>8</v>
      </c>
      <c r="AN247" s="1">
        <v>8</v>
      </c>
      <c r="AO247" s="1">
        <v>4</v>
      </c>
      <c r="AP247" s="1">
        <v>57</v>
      </c>
      <c r="AQ247" s="1">
        <v>43</v>
      </c>
      <c r="AR247" s="1" t="s">
        <v>488</v>
      </c>
      <c r="AS247" s="1" t="s">
        <v>489</v>
      </c>
      <c r="AT247" s="1" t="s">
        <v>400</v>
      </c>
      <c r="AU247" s="1" t="s">
        <v>84</v>
      </c>
      <c r="AV247" s="1" t="s">
        <v>85</v>
      </c>
      <c r="AW247" s="1" t="s">
        <v>457</v>
      </c>
      <c r="AX247" s="1"/>
    </row>
    <row r="248" spans="1:50" ht="15" customHeight="1">
      <c r="A248" s="1">
        <v>2018</v>
      </c>
      <c r="B248" s="1" t="s">
        <v>452</v>
      </c>
      <c r="C248" s="1" t="s">
        <v>542</v>
      </c>
      <c r="D248" s="1" t="s">
        <v>219</v>
      </c>
      <c r="E248" s="1" t="s">
        <v>220</v>
      </c>
      <c r="F248" s="4">
        <v>43284</v>
      </c>
      <c r="G248" s="1" t="s">
        <v>221</v>
      </c>
      <c r="H248" s="1" t="s">
        <v>106</v>
      </c>
      <c r="I248" s="1" t="s">
        <v>161</v>
      </c>
      <c r="J248" s="5">
        <v>1</v>
      </c>
      <c r="K248" s="5">
        <v>0</v>
      </c>
      <c r="L248" s="1" t="s">
        <v>101</v>
      </c>
      <c r="M248" s="1" t="s">
        <v>78</v>
      </c>
      <c r="N248" s="1" t="s">
        <v>106</v>
      </c>
      <c r="O248" s="1" t="s">
        <v>106</v>
      </c>
      <c r="P248" s="1" t="s">
        <v>31</v>
      </c>
      <c r="Q248" s="2" t="b">
        <v>0</v>
      </c>
      <c r="R248" s="2" t="b">
        <v>0</v>
      </c>
      <c r="S248" s="1" t="s">
        <v>79</v>
      </c>
      <c r="T248" s="5">
        <v>3</v>
      </c>
      <c r="U248" s="5">
        <v>11</v>
      </c>
      <c r="V248" s="5">
        <v>14</v>
      </c>
      <c r="W248" s="1" t="s">
        <v>81</v>
      </c>
      <c r="X248" s="5">
        <v>1</v>
      </c>
      <c r="Y248" s="5">
        <v>2</v>
      </c>
      <c r="Z248" s="5">
        <v>3</v>
      </c>
      <c r="AA248" s="5">
        <v>0</v>
      </c>
      <c r="AB248" s="5">
        <v>1</v>
      </c>
      <c r="AC248" s="5">
        <v>1</v>
      </c>
      <c r="AD248" s="5">
        <v>0</v>
      </c>
      <c r="AE248" s="5">
        <v>0</v>
      </c>
      <c r="AF248" s="5">
        <v>0</v>
      </c>
      <c r="AG248" s="5">
        <v>0</v>
      </c>
      <c r="AH248" s="5">
        <v>1</v>
      </c>
      <c r="AI248" s="5">
        <v>1</v>
      </c>
      <c r="AJ248" s="5">
        <v>4</v>
      </c>
      <c r="AK248" s="1" t="s">
        <v>81</v>
      </c>
      <c r="AL248" s="6">
        <v>9</v>
      </c>
      <c r="AM248" s="6">
        <v>8</v>
      </c>
      <c r="AN248" s="1">
        <v>3</v>
      </c>
      <c r="AO248" s="1">
        <v>4</v>
      </c>
      <c r="AP248" s="1">
        <v>32</v>
      </c>
      <c r="AQ248" s="1">
        <v>68</v>
      </c>
      <c r="AR248" s="1" t="s">
        <v>464</v>
      </c>
      <c r="AS248" s="1" t="s">
        <v>465</v>
      </c>
      <c r="AT248" s="1" t="s">
        <v>400</v>
      </c>
      <c r="AU248" s="1" t="s">
        <v>84</v>
      </c>
      <c r="AV248" s="1" t="s">
        <v>85</v>
      </c>
      <c r="AW248" s="1" t="s">
        <v>457</v>
      </c>
      <c r="AX248" s="1"/>
    </row>
    <row r="249" spans="1:50" ht="15" customHeight="1">
      <c r="A249" s="1">
        <v>2018</v>
      </c>
      <c r="B249" s="1" t="s">
        <v>452</v>
      </c>
      <c r="C249" s="1" t="s">
        <v>543</v>
      </c>
      <c r="D249" s="1" t="s">
        <v>219</v>
      </c>
      <c r="E249" s="1" t="s">
        <v>220</v>
      </c>
      <c r="F249" s="4">
        <v>43284</v>
      </c>
      <c r="G249" s="1" t="s">
        <v>89</v>
      </c>
      <c r="H249" s="1" t="s">
        <v>367</v>
      </c>
      <c r="I249" s="1" t="s">
        <v>99</v>
      </c>
      <c r="J249" s="5">
        <v>1</v>
      </c>
      <c r="K249" s="5">
        <v>1</v>
      </c>
      <c r="L249" s="1" t="s">
        <v>190</v>
      </c>
      <c r="M249" s="1" t="s">
        <v>108</v>
      </c>
      <c r="N249" s="1" t="s">
        <v>99</v>
      </c>
      <c r="O249" s="1" t="s">
        <v>99</v>
      </c>
      <c r="P249" s="1" t="s">
        <v>228</v>
      </c>
      <c r="Q249" s="2" t="b">
        <v>1</v>
      </c>
      <c r="R249" s="2" t="b">
        <v>1</v>
      </c>
      <c r="S249" s="1" t="s">
        <v>538</v>
      </c>
      <c r="T249" s="5">
        <v>2</v>
      </c>
      <c r="U249" s="5">
        <v>7</v>
      </c>
      <c r="V249" s="5">
        <v>9</v>
      </c>
      <c r="W249" s="1" t="s">
        <v>81</v>
      </c>
      <c r="X249" s="5">
        <v>6</v>
      </c>
      <c r="Y249" s="5">
        <v>2</v>
      </c>
      <c r="Z249" s="5">
        <v>8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8</v>
      </c>
      <c r="AK249" s="1" t="s">
        <v>81</v>
      </c>
      <c r="AL249" s="6">
        <v>11</v>
      </c>
      <c r="AM249" s="6">
        <v>11</v>
      </c>
      <c r="AN249" s="1">
        <v>4</v>
      </c>
      <c r="AO249" s="1">
        <v>2</v>
      </c>
      <c r="AP249" s="1">
        <v>47</v>
      </c>
      <c r="AQ249" s="1">
        <v>53</v>
      </c>
      <c r="AR249" s="1" t="s">
        <v>475</v>
      </c>
      <c r="AS249" s="1" t="s">
        <v>456</v>
      </c>
      <c r="AT249" s="1" t="s">
        <v>400</v>
      </c>
      <c r="AU249" s="1" t="s">
        <v>84</v>
      </c>
      <c r="AV249" s="1" t="s">
        <v>85</v>
      </c>
      <c r="AW249" s="1" t="s">
        <v>457</v>
      </c>
      <c r="AX249" s="1"/>
    </row>
    <row r="250" spans="1:50" ht="15" customHeight="1">
      <c r="A250" s="1">
        <v>2018</v>
      </c>
      <c r="B250" s="1" t="s">
        <v>452</v>
      </c>
      <c r="C250" s="1" t="s">
        <v>544</v>
      </c>
      <c r="D250" s="1" t="s">
        <v>233</v>
      </c>
      <c r="E250" s="1" t="s">
        <v>220</v>
      </c>
      <c r="F250" s="4">
        <v>43287</v>
      </c>
      <c r="G250" s="1" t="s">
        <v>221</v>
      </c>
      <c r="H250" s="1" t="s">
        <v>254</v>
      </c>
      <c r="I250" s="1" t="s">
        <v>160</v>
      </c>
      <c r="J250" s="5">
        <v>0</v>
      </c>
      <c r="K250" s="5">
        <v>2</v>
      </c>
      <c r="L250" s="1" t="s">
        <v>92</v>
      </c>
      <c r="M250" s="1" t="s">
        <v>93</v>
      </c>
      <c r="N250" s="1" t="s">
        <v>160</v>
      </c>
      <c r="O250" s="1" t="s">
        <v>160</v>
      </c>
      <c r="P250" s="1" t="s">
        <v>31</v>
      </c>
      <c r="Q250" s="2" t="b">
        <v>0</v>
      </c>
      <c r="R250" s="2" t="b">
        <v>0</v>
      </c>
      <c r="S250" s="1" t="s">
        <v>79</v>
      </c>
      <c r="T250" s="5">
        <v>4</v>
      </c>
      <c r="U250" s="5">
        <v>3</v>
      </c>
      <c r="V250" s="5">
        <v>7</v>
      </c>
      <c r="W250" s="1" t="s">
        <v>81</v>
      </c>
      <c r="X250" s="5">
        <v>2</v>
      </c>
      <c r="Y250" s="5">
        <v>2</v>
      </c>
      <c r="Z250" s="5">
        <v>4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4</v>
      </c>
      <c r="AK250" s="1" t="s">
        <v>81</v>
      </c>
      <c r="AL250" s="6">
        <v>10</v>
      </c>
      <c r="AM250" s="6">
        <v>10</v>
      </c>
      <c r="AN250" s="1">
        <v>4</v>
      </c>
      <c r="AO250" s="1">
        <v>2</v>
      </c>
      <c r="AP250" s="1">
        <v>38</v>
      </c>
      <c r="AQ250" s="1">
        <v>62</v>
      </c>
      <c r="AR250" s="1" t="s">
        <v>491</v>
      </c>
      <c r="AS250" s="1" t="s">
        <v>492</v>
      </c>
      <c r="AT250" s="1" t="s">
        <v>400</v>
      </c>
      <c r="AU250" s="1" t="s">
        <v>84</v>
      </c>
      <c r="AV250" s="1" t="s">
        <v>85</v>
      </c>
      <c r="AW250" s="1" t="s">
        <v>457</v>
      </c>
      <c r="AX250" s="1"/>
    </row>
    <row r="251" spans="1:50" ht="15" customHeight="1">
      <c r="A251" s="1">
        <v>2018</v>
      </c>
      <c r="B251" s="1" t="s">
        <v>452</v>
      </c>
      <c r="C251" s="1" t="s">
        <v>545</v>
      </c>
      <c r="D251" s="1" t="s">
        <v>233</v>
      </c>
      <c r="E251" s="1" t="s">
        <v>220</v>
      </c>
      <c r="F251" s="4">
        <v>43287</v>
      </c>
      <c r="G251" s="1" t="s">
        <v>89</v>
      </c>
      <c r="H251" s="1" t="s">
        <v>165</v>
      </c>
      <c r="I251" s="1" t="s">
        <v>397</v>
      </c>
      <c r="J251" s="5">
        <v>1</v>
      </c>
      <c r="K251" s="5">
        <v>2</v>
      </c>
      <c r="L251" s="1" t="s">
        <v>200</v>
      </c>
      <c r="M251" s="1" t="s">
        <v>93</v>
      </c>
      <c r="N251" s="1" t="s">
        <v>397</v>
      </c>
      <c r="O251" s="1" t="s">
        <v>397</v>
      </c>
      <c r="P251" s="1" t="s">
        <v>31</v>
      </c>
      <c r="Q251" s="2" t="b">
        <v>0</v>
      </c>
      <c r="R251" s="2" t="b">
        <v>0</v>
      </c>
      <c r="S251" s="1" t="s">
        <v>79</v>
      </c>
      <c r="T251" s="5">
        <v>8</v>
      </c>
      <c r="U251" s="5">
        <v>4</v>
      </c>
      <c r="V251" s="5">
        <v>12</v>
      </c>
      <c r="W251" s="1" t="s">
        <v>81</v>
      </c>
      <c r="X251" s="5">
        <v>2</v>
      </c>
      <c r="Y251" s="5">
        <v>2</v>
      </c>
      <c r="Z251" s="5">
        <v>4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4</v>
      </c>
      <c r="AK251" s="1" t="s">
        <v>81</v>
      </c>
      <c r="AL251" s="6">
        <v>16</v>
      </c>
      <c r="AM251" s="6">
        <v>7</v>
      </c>
      <c r="AN251" s="1">
        <v>9</v>
      </c>
      <c r="AO251" s="1">
        <v>3</v>
      </c>
      <c r="AP251" s="1">
        <v>58</v>
      </c>
      <c r="AQ251" s="1">
        <v>42</v>
      </c>
      <c r="AR251" s="1" t="s">
        <v>471</v>
      </c>
      <c r="AS251" s="1" t="s">
        <v>472</v>
      </c>
      <c r="AT251" s="1" t="s">
        <v>400</v>
      </c>
      <c r="AU251" s="1" t="s">
        <v>84</v>
      </c>
      <c r="AV251" s="1" t="s">
        <v>85</v>
      </c>
      <c r="AW251" s="1" t="s">
        <v>457</v>
      </c>
      <c r="AX251" s="1"/>
    </row>
    <row r="252" spans="1:50" ht="15" customHeight="1">
      <c r="A252" s="1">
        <v>2018</v>
      </c>
      <c r="B252" s="1" t="s">
        <v>452</v>
      </c>
      <c r="C252" s="1" t="s">
        <v>546</v>
      </c>
      <c r="D252" s="1" t="s">
        <v>233</v>
      </c>
      <c r="E252" s="1" t="s">
        <v>220</v>
      </c>
      <c r="F252" s="4">
        <v>43288</v>
      </c>
      <c r="G252" s="1" t="s">
        <v>74</v>
      </c>
      <c r="H252" s="1" t="s">
        <v>106</v>
      </c>
      <c r="I252" s="1" t="s">
        <v>99</v>
      </c>
      <c r="J252" s="5">
        <v>0</v>
      </c>
      <c r="K252" s="5">
        <v>2</v>
      </c>
      <c r="L252" s="1" t="s">
        <v>92</v>
      </c>
      <c r="M252" s="1" t="s">
        <v>93</v>
      </c>
      <c r="N252" s="1" t="s">
        <v>99</v>
      </c>
      <c r="O252" s="1" t="s">
        <v>99</v>
      </c>
      <c r="P252" s="1" t="s">
        <v>31</v>
      </c>
      <c r="Q252" s="2" t="b">
        <v>0</v>
      </c>
      <c r="R252" s="2" t="b">
        <v>0</v>
      </c>
      <c r="S252" s="1" t="s">
        <v>79</v>
      </c>
      <c r="T252" s="5">
        <v>1</v>
      </c>
      <c r="U252" s="5">
        <v>6</v>
      </c>
      <c r="V252" s="5">
        <v>7</v>
      </c>
      <c r="W252" s="1" t="s">
        <v>81</v>
      </c>
      <c r="X252" s="5">
        <v>2</v>
      </c>
      <c r="Y252" s="5">
        <v>1</v>
      </c>
      <c r="Z252" s="5">
        <v>3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3</v>
      </c>
      <c r="AK252" s="1" t="s">
        <v>81</v>
      </c>
      <c r="AL252" s="6">
        <v>5</v>
      </c>
      <c r="AM252" s="6">
        <v>6</v>
      </c>
      <c r="AN252" s="1">
        <v>3</v>
      </c>
      <c r="AO252" s="1">
        <v>2</v>
      </c>
      <c r="AP252" s="1">
        <v>42</v>
      </c>
      <c r="AQ252" s="1">
        <v>58</v>
      </c>
      <c r="AR252" s="1" t="s">
        <v>484</v>
      </c>
      <c r="AS252" s="1" t="s">
        <v>485</v>
      </c>
      <c r="AT252" s="1" t="s">
        <v>400</v>
      </c>
      <c r="AU252" s="1" t="s">
        <v>84</v>
      </c>
      <c r="AV252" s="1" t="s">
        <v>85</v>
      </c>
      <c r="AW252" s="1" t="s">
        <v>457</v>
      </c>
      <c r="AX252" s="1"/>
    </row>
    <row r="253" spans="1:50" ht="15" customHeight="1">
      <c r="A253" s="1">
        <v>2018</v>
      </c>
      <c r="B253" s="1" t="s">
        <v>452</v>
      </c>
      <c r="C253" s="1" t="s">
        <v>547</v>
      </c>
      <c r="D253" s="1" t="s">
        <v>233</v>
      </c>
      <c r="E253" s="1" t="s">
        <v>220</v>
      </c>
      <c r="F253" s="4">
        <v>43288</v>
      </c>
      <c r="G253" s="1" t="s">
        <v>89</v>
      </c>
      <c r="H253" s="1" t="s">
        <v>400</v>
      </c>
      <c r="I253" s="1" t="s">
        <v>166</v>
      </c>
      <c r="J253" s="5">
        <v>2</v>
      </c>
      <c r="K253" s="5">
        <v>2</v>
      </c>
      <c r="L253" s="1" t="s">
        <v>177</v>
      </c>
      <c r="M253" s="1" t="s">
        <v>108</v>
      </c>
      <c r="N253" s="1" t="s">
        <v>166</v>
      </c>
      <c r="O253" s="1" t="s">
        <v>166</v>
      </c>
      <c r="P253" s="1" t="s">
        <v>228</v>
      </c>
      <c r="Q253" s="2" t="b">
        <v>1</v>
      </c>
      <c r="R253" s="2" t="b">
        <v>1</v>
      </c>
      <c r="S253" s="1" t="s">
        <v>538</v>
      </c>
      <c r="T253" s="5">
        <v>2</v>
      </c>
      <c r="U253" s="5">
        <v>6</v>
      </c>
      <c r="V253" s="5">
        <v>8</v>
      </c>
      <c r="W253" s="1" t="s">
        <v>81</v>
      </c>
      <c r="X253" s="5">
        <v>1</v>
      </c>
      <c r="Y253" s="5">
        <v>4</v>
      </c>
      <c r="Z253" s="5">
        <v>5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5</v>
      </c>
      <c r="AK253" s="1" t="s">
        <v>81</v>
      </c>
      <c r="AL253" s="6">
        <v>6</v>
      </c>
      <c r="AM253" s="6">
        <v>13</v>
      </c>
      <c r="AN253" s="1">
        <v>6</v>
      </c>
      <c r="AO253" s="1">
        <v>4</v>
      </c>
      <c r="AP253" s="1">
        <v>34</v>
      </c>
      <c r="AQ253" s="1">
        <v>66</v>
      </c>
      <c r="AR253" s="1" t="s">
        <v>468</v>
      </c>
      <c r="AS253" s="1" t="s">
        <v>469</v>
      </c>
      <c r="AT253" s="1" t="s">
        <v>400</v>
      </c>
      <c r="AU253" s="1" t="s">
        <v>84</v>
      </c>
      <c r="AV253" s="1" t="s">
        <v>85</v>
      </c>
      <c r="AW253" s="1" t="s">
        <v>457</v>
      </c>
      <c r="AX253" s="1"/>
    </row>
    <row r="254" spans="1:50" ht="15" customHeight="1">
      <c r="A254" s="1">
        <v>2018</v>
      </c>
      <c r="B254" s="1" t="s">
        <v>452</v>
      </c>
      <c r="C254" s="1" t="s">
        <v>548</v>
      </c>
      <c r="D254" s="1" t="s">
        <v>238</v>
      </c>
      <c r="E254" s="1" t="s">
        <v>220</v>
      </c>
      <c r="F254" s="4">
        <v>43291</v>
      </c>
      <c r="G254" s="1" t="s">
        <v>89</v>
      </c>
      <c r="H254" s="1" t="s">
        <v>160</v>
      </c>
      <c r="I254" s="1" t="s">
        <v>397</v>
      </c>
      <c r="J254" s="5">
        <v>1</v>
      </c>
      <c r="K254" s="5">
        <v>0</v>
      </c>
      <c r="L254" s="1" t="s">
        <v>101</v>
      </c>
      <c r="M254" s="1" t="s">
        <v>78</v>
      </c>
      <c r="N254" s="1" t="s">
        <v>160</v>
      </c>
      <c r="O254" s="1" t="s">
        <v>160</v>
      </c>
      <c r="P254" s="1" t="s">
        <v>31</v>
      </c>
      <c r="Q254" s="2" t="b">
        <v>0</v>
      </c>
      <c r="R254" s="2" t="b">
        <v>0</v>
      </c>
      <c r="S254" s="1" t="s">
        <v>79</v>
      </c>
      <c r="T254" s="5">
        <v>4</v>
      </c>
      <c r="U254" s="5">
        <v>5</v>
      </c>
      <c r="V254" s="5">
        <v>9</v>
      </c>
      <c r="W254" s="1" t="s">
        <v>81</v>
      </c>
      <c r="X254" s="5">
        <v>2</v>
      </c>
      <c r="Y254" s="5">
        <v>3</v>
      </c>
      <c r="Z254" s="5">
        <v>5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5</v>
      </c>
      <c r="AK254" s="1" t="s">
        <v>81</v>
      </c>
      <c r="AL254" s="6">
        <v>13</v>
      </c>
      <c r="AM254" s="6">
        <v>8</v>
      </c>
      <c r="AN254" s="1">
        <v>5</v>
      </c>
      <c r="AO254" s="1">
        <v>3</v>
      </c>
      <c r="AP254" s="1">
        <v>36</v>
      </c>
      <c r="AQ254" s="1">
        <v>64</v>
      </c>
      <c r="AR254" s="1" t="s">
        <v>464</v>
      </c>
      <c r="AS254" s="1" t="s">
        <v>465</v>
      </c>
      <c r="AT254" s="1" t="s">
        <v>400</v>
      </c>
      <c r="AU254" s="1" t="s">
        <v>84</v>
      </c>
      <c r="AV254" s="1" t="s">
        <v>85</v>
      </c>
      <c r="AW254" s="1" t="s">
        <v>457</v>
      </c>
      <c r="AX254" s="1"/>
    </row>
    <row r="255" spans="1:50" ht="15" customHeight="1">
      <c r="A255" s="1">
        <v>2018</v>
      </c>
      <c r="B255" s="1" t="s">
        <v>452</v>
      </c>
      <c r="C255" s="1" t="s">
        <v>549</v>
      </c>
      <c r="D255" s="1" t="s">
        <v>238</v>
      </c>
      <c r="E255" s="1" t="s">
        <v>220</v>
      </c>
      <c r="F255" s="4">
        <v>43292</v>
      </c>
      <c r="G255" s="1" t="s">
        <v>89</v>
      </c>
      <c r="H255" s="1" t="s">
        <v>166</v>
      </c>
      <c r="I255" s="1" t="s">
        <v>99</v>
      </c>
      <c r="J255" s="5">
        <v>2</v>
      </c>
      <c r="K255" s="5">
        <v>1</v>
      </c>
      <c r="L255" s="1" t="s">
        <v>117</v>
      </c>
      <c r="M255" s="1" t="s">
        <v>78</v>
      </c>
      <c r="N255" s="1" t="s">
        <v>166</v>
      </c>
      <c r="O255" s="1" t="s">
        <v>166</v>
      </c>
      <c r="P255" s="1" t="s">
        <v>223</v>
      </c>
      <c r="Q255" s="2" t="b">
        <v>1</v>
      </c>
      <c r="R255" s="2" t="b">
        <v>0</v>
      </c>
      <c r="S255" s="1" t="s">
        <v>79</v>
      </c>
      <c r="T255" s="5">
        <v>8</v>
      </c>
      <c r="U255" s="5">
        <v>4</v>
      </c>
      <c r="V255" s="5">
        <v>12</v>
      </c>
      <c r="W255" s="1" t="s">
        <v>81</v>
      </c>
      <c r="X255" s="5">
        <v>2</v>
      </c>
      <c r="Y255" s="5">
        <v>1</v>
      </c>
      <c r="Z255" s="5">
        <v>3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3</v>
      </c>
      <c r="AK255" s="1" t="s">
        <v>81</v>
      </c>
      <c r="AL255" s="6">
        <v>18</v>
      </c>
      <c r="AM255" s="6">
        <v>8</v>
      </c>
      <c r="AN255" s="1">
        <v>7</v>
      </c>
      <c r="AO255" s="1">
        <v>2</v>
      </c>
      <c r="AP255" s="1">
        <v>55</v>
      </c>
      <c r="AQ255" s="1">
        <v>45</v>
      </c>
      <c r="AR255" s="1" t="s">
        <v>455</v>
      </c>
      <c r="AS255" s="1" t="s">
        <v>456</v>
      </c>
      <c r="AT255" s="1" t="s">
        <v>400</v>
      </c>
      <c r="AU255" s="1" t="s">
        <v>84</v>
      </c>
      <c r="AV255" s="1" t="s">
        <v>85</v>
      </c>
      <c r="AW255" s="1" t="s">
        <v>457</v>
      </c>
      <c r="AX255" s="1"/>
    </row>
    <row r="256" spans="1:50" ht="15" customHeight="1">
      <c r="A256" s="1">
        <v>2018</v>
      </c>
      <c r="B256" s="1" t="s">
        <v>452</v>
      </c>
      <c r="C256" s="1" t="s">
        <v>550</v>
      </c>
      <c r="D256" s="1" t="s">
        <v>241</v>
      </c>
      <c r="E256" s="1" t="s">
        <v>220</v>
      </c>
      <c r="F256" s="4">
        <v>43295</v>
      </c>
      <c r="G256" s="1" t="s">
        <v>221</v>
      </c>
      <c r="H256" s="1" t="s">
        <v>397</v>
      </c>
      <c r="I256" s="1" t="s">
        <v>99</v>
      </c>
      <c r="J256" s="5">
        <v>2</v>
      </c>
      <c r="K256" s="5">
        <v>0</v>
      </c>
      <c r="L256" s="1" t="s">
        <v>152</v>
      </c>
      <c r="M256" s="1" t="s">
        <v>78</v>
      </c>
      <c r="N256" s="1" t="s">
        <v>397</v>
      </c>
      <c r="O256" s="1" t="s">
        <v>397</v>
      </c>
      <c r="P256" s="1" t="s">
        <v>31</v>
      </c>
      <c r="Q256" s="2" t="b">
        <v>0</v>
      </c>
      <c r="R256" s="2" t="b">
        <v>0</v>
      </c>
      <c r="S256" s="1" t="s">
        <v>79</v>
      </c>
      <c r="T256" s="5">
        <v>4</v>
      </c>
      <c r="U256" s="5">
        <v>5</v>
      </c>
      <c r="V256" s="5">
        <v>9</v>
      </c>
      <c r="W256" s="1" t="s">
        <v>81</v>
      </c>
      <c r="X256" s="5">
        <v>1</v>
      </c>
      <c r="Y256" s="5">
        <v>2</v>
      </c>
      <c r="Z256" s="5">
        <v>3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3</v>
      </c>
      <c r="AK256" s="1" t="s">
        <v>81</v>
      </c>
      <c r="AL256" s="6">
        <v>7</v>
      </c>
      <c r="AM256" s="6">
        <v>13</v>
      </c>
      <c r="AN256" s="1">
        <v>4</v>
      </c>
      <c r="AO256" s="1">
        <v>6</v>
      </c>
      <c r="AP256" s="1">
        <v>42</v>
      </c>
      <c r="AQ256" s="1">
        <v>58</v>
      </c>
      <c r="AR256" s="1" t="s">
        <v>464</v>
      </c>
      <c r="AS256" s="1" t="s">
        <v>465</v>
      </c>
      <c r="AT256" s="1" t="s">
        <v>400</v>
      </c>
      <c r="AU256" s="1" t="s">
        <v>84</v>
      </c>
      <c r="AV256" s="1" t="s">
        <v>85</v>
      </c>
      <c r="AW256" s="1" t="s">
        <v>457</v>
      </c>
      <c r="AX256" s="1"/>
    </row>
    <row r="257" spans="1:50" ht="15" customHeight="1">
      <c r="A257" s="1">
        <v>2018</v>
      </c>
      <c r="B257" s="1" t="s">
        <v>452</v>
      </c>
      <c r="C257" s="1" t="s">
        <v>551</v>
      </c>
      <c r="D257" s="1" t="s">
        <v>243</v>
      </c>
      <c r="E257" s="1" t="s">
        <v>220</v>
      </c>
      <c r="F257" s="4">
        <v>43296</v>
      </c>
      <c r="G257" s="1" t="s">
        <v>74</v>
      </c>
      <c r="H257" s="1" t="s">
        <v>160</v>
      </c>
      <c r="I257" s="1" t="s">
        <v>166</v>
      </c>
      <c r="J257" s="5">
        <v>4</v>
      </c>
      <c r="K257" s="5">
        <v>2</v>
      </c>
      <c r="L257" s="1" t="s">
        <v>77</v>
      </c>
      <c r="M257" s="1" t="s">
        <v>78</v>
      </c>
      <c r="N257" s="1" t="s">
        <v>160</v>
      </c>
      <c r="O257" s="1" t="s">
        <v>160</v>
      </c>
      <c r="P257" s="1" t="s">
        <v>31</v>
      </c>
      <c r="Q257" s="2" t="b">
        <v>0</v>
      </c>
      <c r="R257" s="2" t="b">
        <v>0</v>
      </c>
      <c r="S257" s="1" t="s">
        <v>79</v>
      </c>
      <c r="T257" s="5">
        <v>2</v>
      </c>
      <c r="U257" s="5">
        <v>6</v>
      </c>
      <c r="V257" s="5">
        <v>8</v>
      </c>
      <c r="W257" s="1" t="s">
        <v>81</v>
      </c>
      <c r="X257" s="5">
        <v>2</v>
      </c>
      <c r="Y257" s="5">
        <v>1</v>
      </c>
      <c r="Z257" s="5">
        <v>3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3</v>
      </c>
      <c r="AK257" s="1" t="s">
        <v>81</v>
      </c>
      <c r="AL257" s="6">
        <v>6</v>
      </c>
      <c r="AM257" s="6">
        <v>13</v>
      </c>
      <c r="AN257" s="1">
        <v>6</v>
      </c>
      <c r="AO257" s="1">
        <v>4</v>
      </c>
      <c r="AP257" s="1">
        <v>34</v>
      </c>
      <c r="AQ257" s="1">
        <v>66</v>
      </c>
      <c r="AR257" s="1" t="s">
        <v>455</v>
      </c>
      <c r="AS257" s="1" t="s">
        <v>456</v>
      </c>
      <c r="AT257" s="1" t="s">
        <v>400</v>
      </c>
      <c r="AU257" s="1" t="s">
        <v>84</v>
      </c>
      <c r="AV257" s="1" t="s">
        <v>85</v>
      </c>
      <c r="AW257" s="1" t="s">
        <v>457</v>
      </c>
      <c r="AX257" s="1"/>
    </row>
    <row r="258" spans="1:50" ht="15" customHeight="1">
      <c r="A258" s="1">
        <v>2022</v>
      </c>
      <c r="B258" s="1" t="s">
        <v>552</v>
      </c>
      <c r="C258" s="1" t="s">
        <v>553</v>
      </c>
      <c r="D258" s="1" t="s">
        <v>72</v>
      </c>
      <c r="E258" s="1" t="s">
        <v>73</v>
      </c>
      <c r="F258" s="4">
        <v>44885</v>
      </c>
      <c r="G258" s="1" t="s">
        <v>387</v>
      </c>
      <c r="H258" s="1" t="s">
        <v>554</v>
      </c>
      <c r="I258" s="1" t="s">
        <v>91</v>
      </c>
      <c r="J258" s="5">
        <v>0</v>
      </c>
      <c r="K258" s="5">
        <v>2</v>
      </c>
      <c r="L258" s="1" t="s">
        <v>92</v>
      </c>
      <c r="M258" s="1" t="s">
        <v>93</v>
      </c>
      <c r="N258" s="1" t="s">
        <v>91</v>
      </c>
      <c r="O258" s="1" t="s">
        <v>91</v>
      </c>
      <c r="P258" s="1" t="s">
        <v>31</v>
      </c>
      <c r="Q258" s="2" t="b">
        <v>0</v>
      </c>
      <c r="R258" s="2" t="b">
        <v>0</v>
      </c>
      <c r="S258" s="1" t="s">
        <v>79</v>
      </c>
      <c r="T258" s="5">
        <v>1</v>
      </c>
      <c r="U258" s="5">
        <v>3</v>
      </c>
      <c r="V258" s="5">
        <v>4</v>
      </c>
      <c r="W258" s="1" t="s">
        <v>81</v>
      </c>
      <c r="X258" s="5">
        <v>4</v>
      </c>
      <c r="Y258" s="5">
        <v>2</v>
      </c>
      <c r="Z258" s="5">
        <v>6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6</v>
      </c>
      <c r="AK258" s="1" t="s">
        <v>81</v>
      </c>
      <c r="AL258" s="6">
        <v>5</v>
      </c>
      <c r="AM258" s="6">
        <v>6</v>
      </c>
      <c r="AN258" s="1">
        <v>0</v>
      </c>
      <c r="AO258" s="1">
        <v>3</v>
      </c>
      <c r="AP258" s="1">
        <v>47</v>
      </c>
      <c r="AQ258" s="1">
        <v>53</v>
      </c>
      <c r="AR258" s="1" t="s">
        <v>555</v>
      </c>
      <c r="AS258" s="1" t="s">
        <v>556</v>
      </c>
      <c r="AT258" s="1" t="s">
        <v>554</v>
      </c>
      <c r="AU258" s="1" t="s">
        <v>84</v>
      </c>
      <c r="AV258" s="1" t="s">
        <v>85</v>
      </c>
      <c r="AW258" s="1" t="s">
        <v>557</v>
      </c>
      <c r="AX258" s="1"/>
    </row>
    <row r="259" spans="1:50" ht="15" customHeight="1">
      <c r="A259" s="1">
        <v>2022</v>
      </c>
      <c r="B259" s="1" t="s">
        <v>552</v>
      </c>
      <c r="C259" s="1" t="s">
        <v>558</v>
      </c>
      <c r="D259" s="1" t="s">
        <v>72</v>
      </c>
      <c r="E259" s="1" t="s">
        <v>97</v>
      </c>
      <c r="F259" s="4">
        <v>44886</v>
      </c>
      <c r="G259" s="1" t="s">
        <v>199</v>
      </c>
      <c r="H259" s="1" t="s">
        <v>99</v>
      </c>
      <c r="I259" s="1" t="s">
        <v>129</v>
      </c>
      <c r="J259" s="5">
        <v>6</v>
      </c>
      <c r="K259" s="5">
        <v>2</v>
      </c>
      <c r="L259" s="1" t="s">
        <v>559</v>
      </c>
      <c r="M259" s="1" t="s">
        <v>78</v>
      </c>
      <c r="N259" s="1" t="s">
        <v>99</v>
      </c>
      <c r="O259" s="1" t="s">
        <v>99</v>
      </c>
      <c r="P259" s="1" t="s">
        <v>31</v>
      </c>
      <c r="Q259" s="2" t="b">
        <v>0</v>
      </c>
      <c r="R259" s="2" t="b">
        <v>0</v>
      </c>
      <c r="S259" s="1" t="s">
        <v>79</v>
      </c>
      <c r="T259" s="5">
        <v>8</v>
      </c>
      <c r="U259" s="5">
        <v>0</v>
      </c>
      <c r="V259" s="5">
        <v>8</v>
      </c>
      <c r="W259" s="1" t="s">
        <v>81</v>
      </c>
      <c r="X259" s="5">
        <v>0</v>
      </c>
      <c r="Y259" s="5">
        <v>2</v>
      </c>
      <c r="Z259" s="5">
        <v>2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2</v>
      </c>
      <c r="AK259" s="1" t="s">
        <v>81</v>
      </c>
      <c r="AL259" s="6">
        <v>13</v>
      </c>
      <c r="AM259" s="6">
        <v>8</v>
      </c>
      <c r="AN259" s="1">
        <v>7</v>
      </c>
      <c r="AO259" s="1">
        <v>3</v>
      </c>
      <c r="AP259" s="1">
        <v>78</v>
      </c>
      <c r="AQ259" s="1">
        <v>22</v>
      </c>
      <c r="AR259" s="1" t="s">
        <v>560</v>
      </c>
      <c r="AS259" s="1" t="s">
        <v>561</v>
      </c>
      <c r="AT259" s="1" t="s">
        <v>554</v>
      </c>
      <c r="AU259" s="1" t="s">
        <v>84</v>
      </c>
      <c r="AV259" s="1" t="s">
        <v>85</v>
      </c>
      <c r="AW259" s="1" t="s">
        <v>557</v>
      </c>
      <c r="AX259" s="1"/>
    </row>
    <row r="260" spans="1:50" ht="15" customHeight="1">
      <c r="A260" s="1">
        <v>2022</v>
      </c>
      <c r="B260" s="1" t="s">
        <v>552</v>
      </c>
      <c r="C260" s="1" t="s">
        <v>562</v>
      </c>
      <c r="D260" s="1" t="s">
        <v>72</v>
      </c>
      <c r="E260" s="1" t="s">
        <v>73</v>
      </c>
      <c r="F260" s="4">
        <v>44886</v>
      </c>
      <c r="G260" s="1" t="s">
        <v>387</v>
      </c>
      <c r="H260" s="1" t="s">
        <v>500</v>
      </c>
      <c r="I260" s="1" t="s">
        <v>122</v>
      </c>
      <c r="J260" s="5">
        <v>0</v>
      </c>
      <c r="K260" s="5">
        <v>2</v>
      </c>
      <c r="L260" s="1" t="s">
        <v>92</v>
      </c>
      <c r="M260" s="1" t="s">
        <v>93</v>
      </c>
      <c r="N260" s="1" t="s">
        <v>122</v>
      </c>
      <c r="O260" s="1" t="s">
        <v>122</v>
      </c>
      <c r="P260" s="1" t="s">
        <v>31</v>
      </c>
      <c r="Q260" s="2" t="b">
        <v>0</v>
      </c>
      <c r="R260" s="2" t="b">
        <v>0</v>
      </c>
      <c r="S260" s="1" t="s">
        <v>79</v>
      </c>
      <c r="T260" s="5">
        <v>6</v>
      </c>
      <c r="U260" s="5">
        <v>7</v>
      </c>
      <c r="V260" s="5">
        <v>13</v>
      </c>
      <c r="W260" s="1" t="s">
        <v>81</v>
      </c>
      <c r="X260" s="5">
        <v>2</v>
      </c>
      <c r="Y260" s="5">
        <v>1</v>
      </c>
      <c r="Z260" s="5">
        <v>3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3</v>
      </c>
      <c r="AK260" s="1" t="s">
        <v>81</v>
      </c>
      <c r="AL260" s="6">
        <v>16</v>
      </c>
      <c r="AM260" s="6">
        <v>10</v>
      </c>
      <c r="AN260" s="1">
        <v>4</v>
      </c>
      <c r="AO260" s="1">
        <v>3</v>
      </c>
      <c r="AP260" s="1">
        <v>47</v>
      </c>
      <c r="AQ260" s="1">
        <v>53</v>
      </c>
      <c r="AR260" s="1" t="s">
        <v>563</v>
      </c>
      <c r="AS260" s="1" t="s">
        <v>564</v>
      </c>
      <c r="AT260" s="1" t="s">
        <v>554</v>
      </c>
      <c r="AU260" s="1" t="s">
        <v>84</v>
      </c>
      <c r="AV260" s="1" t="s">
        <v>85</v>
      </c>
      <c r="AW260" s="1" t="s">
        <v>557</v>
      </c>
      <c r="AX260" s="1"/>
    </row>
    <row r="261" spans="1:50" ht="15" customHeight="1">
      <c r="A261" s="1">
        <v>2022</v>
      </c>
      <c r="B261" s="1" t="s">
        <v>552</v>
      </c>
      <c r="C261" s="1" t="s">
        <v>565</v>
      </c>
      <c r="D261" s="1" t="s">
        <v>72</v>
      </c>
      <c r="E261" s="1" t="s">
        <v>97</v>
      </c>
      <c r="F261" s="4">
        <v>44886</v>
      </c>
      <c r="G261" s="1" t="s">
        <v>377</v>
      </c>
      <c r="H261" s="1" t="s">
        <v>146</v>
      </c>
      <c r="I261" s="1" t="s">
        <v>566</v>
      </c>
      <c r="J261" s="5">
        <v>1</v>
      </c>
      <c r="K261" s="5">
        <v>1</v>
      </c>
      <c r="L261" s="1" t="s">
        <v>190</v>
      </c>
      <c r="M261" s="1" t="s">
        <v>108</v>
      </c>
      <c r="N261" s="1" t="s">
        <v>109</v>
      </c>
      <c r="O261" s="1"/>
      <c r="P261" s="1" t="s">
        <v>110</v>
      </c>
      <c r="Q261" s="2" t="b">
        <v>0</v>
      </c>
      <c r="R261" s="2" t="b">
        <v>0</v>
      </c>
      <c r="S261" s="1" t="s">
        <v>79</v>
      </c>
      <c r="T261" s="5">
        <v>5</v>
      </c>
      <c r="U261" s="5">
        <v>3</v>
      </c>
      <c r="V261" s="5">
        <v>8</v>
      </c>
      <c r="W261" s="1" t="s">
        <v>81</v>
      </c>
      <c r="X261" s="5">
        <v>4</v>
      </c>
      <c r="Y261" s="5">
        <v>2</v>
      </c>
      <c r="Z261" s="5">
        <v>6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6</v>
      </c>
      <c r="AK261" s="1" t="s">
        <v>81</v>
      </c>
      <c r="AL261" s="6">
        <v>6</v>
      </c>
      <c r="AM261" s="6">
        <v>7</v>
      </c>
      <c r="AN261" s="1">
        <v>1</v>
      </c>
      <c r="AO261" s="1">
        <v>3</v>
      </c>
      <c r="AP261" s="1">
        <v>59</v>
      </c>
      <c r="AQ261" s="1">
        <v>41</v>
      </c>
      <c r="AR261" s="1" t="s">
        <v>567</v>
      </c>
      <c r="AS261" s="1" t="s">
        <v>561</v>
      </c>
      <c r="AT261" s="1" t="s">
        <v>554</v>
      </c>
      <c r="AU261" s="1" t="s">
        <v>84</v>
      </c>
      <c r="AV261" s="1" t="s">
        <v>85</v>
      </c>
      <c r="AW261" s="1" t="s">
        <v>557</v>
      </c>
      <c r="AX261" s="1"/>
    </row>
    <row r="262" spans="1:50" ht="15" customHeight="1">
      <c r="A262" s="1">
        <v>2022</v>
      </c>
      <c r="B262" s="1" t="s">
        <v>552</v>
      </c>
      <c r="C262" s="1" t="s">
        <v>568</v>
      </c>
      <c r="D262" s="1" t="s">
        <v>72</v>
      </c>
      <c r="E262" s="1" t="s">
        <v>114</v>
      </c>
      <c r="F262" s="4">
        <v>44887</v>
      </c>
      <c r="G262" s="1" t="s">
        <v>356</v>
      </c>
      <c r="H262" s="1" t="s">
        <v>115</v>
      </c>
      <c r="I262" s="1" t="s">
        <v>176</v>
      </c>
      <c r="J262" s="5">
        <v>1</v>
      </c>
      <c r="K262" s="5">
        <v>2</v>
      </c>
      <c r="L262" s="1" t="s">
        <v>200</v>
      </c>
      <c r="M262" s="1" t="s">
        <v>93</v>
      </c>
      <c r="N262" s="1" t="s">
        <v>176</v>
      </c>
      <c r="O262" s="1" t="s">
        <v>176</v>
      </c>
      <c r="P262" s="1" t="s">
        <v>31</v>
      </c>
      <c r="Q262" s="2" t="b">
        <v>0</v>
      </c>
      <c r="R262" s="2" t="b">
        <v>0</v>
      </c>
      <c r="S262" s="1" t="s">
        <v>79</v>
      </c>
      <c r="T262" s="5">
        <v>9</v>
      </c>
      <c r="U262" s="5">
        <v>2</v>
      </c>
      <c r="V262" s="5">
        <v>11</v>
      </c>
      <c r="W262" s="1" t="s">
        <v>81</v>
      </c>
      <c r="X262" s="5">
        <v>0</v>
      </c>
      <c r="Y262" s="5">
        <v>6</v>
      </c>
      <c r="Z262" s="5">
        <v>6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6</v>
      </c>
      <c r="AK262" s="1" t="s">
        <v>81</v>
      </c>
      <c r="AL262" s="6">
        <v>15</v>
      </c>
      <c r="AM262" s="6">
        <v>3</v>
      </c>
      <c r="AN262" s="1">
        <v>6</v>
      </c>
      <c r="AO262" s="1">
        <v>2</v>
      </c>
      <c r="AP262" s="1">
        <v>69</v>
      </c>
      <c r="AQ262" s="1">
        <v>31</v>
      </c>
      <c r="AR262" s="1" t="s">
        <v>569</v>
      </c>
      <c r="AS262" s="1" t="s">
        <v>570</v>
      </c>
      <c r="AT262" s="1" t="s">
        <v>554</v>
      </c>
      <c r="AU262" s="1" t="s">
        <v>84</v>
      </c>
      <c r="AV262" s="1" t="s">
        <v>85</v>
      </c>
      <c r="AW262" s="1" t="s">
        <v>557</v>
      </c>
      <c r="AX262" s="1"/>
    </row>
    <row r="263" spans="1:50" ht="15" customHeight="1">
      <c r="A263" s="1">
        <v>2022</v>
      </c>
      <c r="B263" s="1" t="s">
        <v>552</v>
      </c>
      <c r="C263" s="1" t="s">
        <v>571</v>
      </c>
      <c r="D263" s="1" t="s">
        <v>72</v>
      </c>
      <c r="E263" s="1" t="s">
        <v>127</v>
      </c>
      <c r="F263" s="4">
        <v>44887</v>
      </c>
      <c r="G263" s="1" t="s">
        <v>199</v>
      </c>
      <c r="H263" s="1" t="s">
        <v>281</v>
      </c>
      <c r="I263" s="1" t="s">
        <v>175</v>
      </c>
      <c r="J263" s="5">
        <v>0</v>
      </c>
      <c r="K263" s="5">
        <v>0</v>
      </c>
      <c r="L263" s="1" t="s">
        <v>107</v>
      </c>
      <c r="M263" s="1" t="s">
        <v>108</v>
      </c>
      <c r="N263" s="1" t="s">
        <v>109</v>
      </c>
      <c r="O263" s="1"/>
      <c r="P263" s="1" t="s">
        <v>110</v>
      </c>
      <c r="Q263" s="2" t="b">
        <v>0</v>
      </c>
      <c r="R263" s="2" t="b">
        <v>0</v>
      </c>
      <c r="S263" s="1" t="s">
        <v>79</v>
      </c>
      <c r="T263" s="5">
        <v>11</v>
      </c>
      <c r="U263" s="5">
        <v>9</v>
      </c>
      <c r="V263" s="5">
        <v>20</v>
      </c>
      <c r="W263" s="1" t="s">
        <v>81</v>
      </c>
      <c r="X263" s="5">
        <v>2</v>
      </c>
      <c r="Y263" s="5">
        <v>1</v>
      </c>
      <c r="Z263" s="5">
        <v>3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3</v>
      </c>
      <c r="AK263" s="1" t="s">
        <v>81</v>
      </c>
      <c r="AL263" s="6">
        <v>11</v>
      </c>
      <c r="AM263" s="6">
        <v>13</v>
      </c>
      <c r="AN263" s="1">
        <v>5</v>
      </c>
      <c r="AO263" s="1">
        <v>1</v>
      </c>
      <c r="AP263" s="1">
        <v>61</v>
      </c>
      <c r="AQ263" s="1">
        <v>39</v>
      </c>
      <c r="AR263" s="1" t="s">
        <v>572</v>
      </c>
      <c r="AS263" s="1" t="s">
        <v>561</v>
      </c>
      <c r="AT263" s="1" t="s">
        <v>554</v>
      </c>
      <c r="AU263" s="1" t="s">
        <v>84</v>
      </c>
      <c r="AV263" s="1" t="s">
        <v>85</v>
      </c>
      <c r="AW263" s="1" t="s">
        <v>557</v>
      </c>
      <c r="AX263" s="1"/>
    </row>
    <row r="264" spans="1:50" ht="15" customHeight="1">
      <c r="A264" s="1">
        <v>2022</v>
      </c>
      <c r="B264" s="1" t="s">
        <v>552</v>
      </c>
      <c r="C264" s="1" t="s">
        <v>573</v>
      </c>
      <c r="D264" s="1" t="s">
        <v>72</v>
      </c>
      <c r="E264" s="1" t="s">
        <v>114</v>
      </c>
      <c r="F264" s="4">
        <v>44887</v>
      </c>
      <c r="G264" s="1" t="s">
        <v>387</v>
      </c>
      <c r="H264" s="1" t="s">
        <v>128</v>
      </c>
      <c r="I264" s="1" t="s">
        <v>90</v>
      </c>
      <c r="J264" s="5">
        <v>0</v>
      </c>
      <c r="K264" s="5">
        <v>0</v>
      </c>
      <c r="L264" s="1" t="s">
        <v>107</v>
      </c>
      <c r="M264" s="1" t="s">
        <v>108</v>
      </c>
      <c r="N264" s="1" t="s">
        <v>109</v>
      </c>
      <c r="O264" s="1"/>
      <c r="P264" s="1" t="s">
        <v>110</v>
      </c>
      <c r="Q264" s="2" t="b">
        <v>0</v>
      </c>
      <c r="R264" s="2" t="b">
        <v>0</v>
      </c>
      <c r="S264" s="1" t="s">
        <v>79</v>
      </c>
      <c r="T264" s="5">
        <v>6</v>
      </c>
      <c r="U264" s="5">
        <v>5</v>
      </c>
      <c r="V264" s="5">
        <v>11</v>
      </c>
      <c r="W264" s="1" t="s">
        <v>81</v>
      </c>
      <c r="X264" s="5">
        <v>2</v>
      </c>
      <c r="Y264" s="5">
        <v>1</v>
      </c>
      <c r="Z264" s="5">
        <v>3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3</v>
      </c>
      <c r="AK264" s="1" t="s">
        <v>81</v>
      </c>
      <c r="AL264" s="6">
        <v>11</v>
      </c>
      <c r="AM264" s="6">
        <v>6</v>
      </c>
      <c r="AN264" s="1">
        <v>4</v>
      </c>
      <c r="AO264" s="1">
        <v>2</v>
      </c>
      <c r="AP264" s="1">
        <v>61</v>
      </c>
      <c r="AQ264" s="1">
        <v>39</v>
      </c>
      <c r="AR264" s="1" t="s">
        <v>574</v>
      </c>
      <c r="AS264" s="1" t="s">
        <v>564</v>
      </c>
      <c r="AT264" s="1" t="s">
        <v>554</v>
      </c>
      <c r="AU264" s="1" t="s">
        <v>84</v>
      </c>
      <c r="AV264" s="1" t="s">
        <v>85</v>
      </c>
      <c r="AW264" s="1" t="s">
        <v>557</v>
      </c>
      <c r="AX264" s="1"/>
    </row>
    <row r="265" spans="1:50" ht="15" customHeight="1">
      <c r="A265" s="1">
        <v>2022</v>
      </c>
      <c r="B265" s="1" t="s">
        <v>552</v>
      </c>
      <c r="C265" s="1" t="s">
        <v>575</v>
      </c>
      <c r="D265" s="1" t="s">
        <v>72</v>
      </c>
      <c r="E265" s="1" t="s">
        <v>127</v>
      </c>
      <c r="F265" s="4">
        <v>44887</v>
      </c>
      <c r="G265" s="1" t="s">
        <v>377</v>
      </c>
      <c r="H265" s="1" t="s">
        <v>160</v>
      </c>
      <c r="I265" s="1" t="s">
        <v>140</v>
      </c>
      <c r="J265" s="5">
        <v>4</v>
      </c>
      <c r="K265" s="5">
        <v>1</v>
      </c>
      <c r="L265" s="1" t="s">
        <v>301</v>
      </c>
      <c r="M265" s="1" t="s">
        <v>78</v>
      </c>
      <c r="N265" s="1" t="s">
        <v>160</v>
      </c>
      <c r="O265" s="1" t="s">
        <v>160</v>
      </c>
      <c r="P265" s="1" t="s">
        <v>31</v>
      </c>
      <c r="Q265" s="2" t="b">
        <v>0</v>
      </c>
      <c r="R265" s="2" t="b">
        <v>0</v>
      </c>
      <c r="S265" s="1" t="s">
        <v>79</v>
      </c>
      <c r="T265" s="5">
        <v>8</v>
      </c>
      <c r="U265" s="5">
        <v>1</v>
      </c>
      <c r="V265" s="5">
        <v>9</v>
      </c>
      <c r="W265" s="1" t="s">
        <v>81</v>
      </c>
      <c r="X265" s="5">
        <v>0</v>
      </c>
      <c r="Y265" s="5">
        <v>3</v>
      </c>
      <c r="Z265" s="5">
        <v>3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3</v>
      </c>
      <c r="AK265" s="1" t="s">
        <v>81</v>
      </c>
      <c r="AL265" s="6">
        <v>23</v>
      </c>
      <c r="AM265" s="6">
        <v>4</v>
      </c>
      <c r="AN265" s="1">
        <v>7</v>
      </c>
      <c r="AO265" s="1">
        <v>1</v>
      </c>
      <c r="AP265" s="1">
        <v>63</v>
      </c>
      <c r="AQ265" s="1">
        <v>37</v>
      </c>
      <c r="AR265" s="1" t="s">
        <v>576</v>
      </c>
      <c r="AS265" s="1" t="s">
        <v>577</v>
      </c>
      <c r="AT265" s="1" t="s">
        <v>554</v>
      </c>
      <c r="AU265" s="1" t="s">
        <v>84</v>
      </c>
      <c r="AV265" s="1" t="s">
        <v>85</v>
      </c>
      <c r="AW265" s="1" t="s">
        <v>557</v>
      </c>
      <c r="AX265" s="1"/>
    </row>
    <row r="266" spans="1:50" ht="15" customHeight="1">
      <c r="A266" s="1">
        <v>2022</v>
      </c>
      <c r="B266" s="1" t="s">
        <v>552</v>
      </c>
      <c r="C266" s="1" t="s">
        <v>578</v>
      </c>
      <c r="D266" s="1" t="s">
        <v>72</v>
      </c>
      <c r="E266" s="1" t="s">
        <v>139</v>
      </c>
      <c r="F266" s="4">
        <v>44888</v>
      </c>
      <c r="G266" s="1" t="s">
        <v>356</v>
      </c>
      <c r="H266" s="1" t="s">
        <v>463</v>
      </c>
      <c r="I266" s="1" t="s">
        <v>166</v>
      </c>
      <c r="J266" s="5">
        <v>0</v>
      </c>
      <c r="K266" s="5">
        <v>0</v>
      </c>
      <c r="L266" s="1" t="s">
        <v>107</v>
      </c>
      <c r="M266" s="1" t="s">
        <v>108</v>
      </c>
      <c r="N266" s="1" t="s">
        <v>109</v>
      </c>
      <c r="O266" s="1"/>
      <c r="P266" s="1" t="s">
        <v>110</v>
      </c>
      <c r="Q266" s="2" t="b">
        <v>0</v>
      </c>
      <c r="R266" s="2" t="b">
        <v>0</v>
      </c>
      <c r="S266" s="1" t="s">
        <v>79</v>
      </c>
      <c r="T266" s="5">
        <v>0</v>
      </c>
      <c r="U266" s="5">
        <v>5</v>
      </c>
      <c r="V266" s="5">
        <v>5</v>
      </c>
      <c r="W266" s="1" t="s">
        <v>81</v>
      </c>
      <c r="X266" s="5">
        <v>1</v>
      </c>
      <c r="Y266" s="5">
        <v>0</v>
      </c>
      <c r="Z266" s="5">
        <v>1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1</v>
      </c>
      <c r="AK266" s="1" t="s">
        <v>81</v>
      </c>
      <c r="AL266" s="6">
        <v>8</v>
      </c>
      <c r="AM266" s="6">
        <v>5</v>
      </c>
      <c r="AN266" s="1">
        <v>2</v>
      </c>
      <c r="AO266" s="1">
        <v>2</v>
      </c>
      <c r="AP266" s="1">
        <v>39</v>
      </c>
      <c r="AQ266" s="1">
        <v>61</v>
      </c>
      <c r="AR266" s="1" t="s">
        <v>555</v>
      </c>
      <c r="AS266" s="1" t="s">
        <v>556</v>
      </c>
      <c r="AT266" s="1" t="s">
        <v>554</v>
      </c>
      <c r="AU266" s="1" t="s">
        <v>84</v>
      </c>
      <c r="AV266" s="1" t="s">
        <v>85</v>
      </c>
      <c r="AW266" s="1" t="s">
        <v>557</v>
      </c>
      <c r="AX266" s="1"/>
    </row>
    <row r="267" spans="1:50" ht="15" customHeight="1">
      <c r="A267" s="1">
        <v>2022</v>
      </c>
      <c r="B267" s="1" t="s">
        <v>552</v>
      </c>
      <c r="C267" s="1" t="s">
        <v>579</v>
      </c>
      <c r="D267" s="1" t="s">
        <v>72</v>
      </c>
      <c r="E267" s="1" t="s">
        <v>145</v>
      </c>
      <c r="F267" s="4">
        <v>44888</v>
      </c>
      <c r="G267" s="1" t="s">
        <v>199</v>
      </c>
      <c r="H267" s="1" t="s">
        <v>75</v>
      </c>
      <c r="I267" s="1" t="s">
        <v>141</v>
      </c>
      <c r="J267" s="5">
        <v>1</v>
      </c>
      <c r="K267" s="5">
        <v>2</v>
      </c>
      <c r="L267" s="1" t="s">
        <v>200</v>
      </c>
      <c r="M267" s="1" t="s">
        <v>93</v>
      </c>
      <c r="N267" s="1" t="s">
        <v>141</v>
      </c>
      <c r="O267" s="1" t="s">
        <v>141</v>
      </c>
      <c r="P267" s="1" t="s">
        <v>31</v>
      </c>
      <c r="Q267" s="2" t="b">
        <v>0</v>
      </c>
      <c r="R267" s="2" t="b">
        <v>0</v>
      </c>
      <c r="S267" s="1" t="s">
        <v>79</v>
      </c>
      <c r="T267" s="5">
        <v>6</v>
      </c>
      <c r="U267" s="5">
        <v>6</v>
      </c>
      <c r="V267" s="5">
        <v>12</v>
      </c>
      <c r="W267" s="1" t="s">
        <v>81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1" t="s">
        <v>81</v>
      </c>
      <c r="AL267" s="6">
        <v>25</v>
      </c>
      <c r="AM267" s="6">
        <v>12</v>
      </c>
      <c r="AN267" s="1">
        <v>9</v>
      </c>
      <c r="AO267" s="1">
        <v>4</v>
      </c>
      <c r="AP267" s="1">
        <v>74</v>
      </c>
      <c r="AQ267" s="1">
        <v>26</v>
      </c>
      <c r="AR267" s="1" t="s">
        <v>560</v>
      </c>
      <c r="AS267" s="1" t="s">
        <v>561</v>
      </c>
      <c r="AT267" s="1" t="s">
        <v>554</v>
      </c>
      <c r="AU267" s="1" t="s">
        <v>84</v>
      </c>
      <c r="AV267" s="1" t="s">
        <v>85</v>
      </c>
      <c r="AW267" s="1" t="s">
        <v>557</v>
      </c>
      <c r="AX267" s="1"/>
    </row>
    <row r="268" spans="1:50" ht="15" customHeight="1">
      <c r="A268" s="1">
        <v>2022</v>
      </c>
      <c r="B268" s="1" t="s">
        <v>552</v>
      </c>
      <c r="C268" s="1" t="s">
        <v>580</v>
      </c>
      <c r="D268" s="1" t="s">
        <v>72</v>
      </c>
      <c r="E268" s="1" t="s">
        <v>145</v>
      </c>
      <c r="F268" s="4">
        <v>44888</v>
      </c>
      <c r="G268" s="1" t="s">
        <v>387</v>
      </c>
      <c r="H268" s="1" t="s">
        <v>171</v>
      </c>
      <c r="I268" s="1" t="s">
        <v>76</v>
      </c>
      <c r="J268" s="5">
        <v>7</v>
      </c>
      <c r="K268" s="5">
        <v>0</v>
      </c>
      <c r="L268" s="1" t="s">
        <v>314</v>
      </c>
      <c r="M268" s="1" t="s">
        <v>78</v>
      </c>
      <c r="N268" s="1" t="s">
        <v>171</v>
      </c>
      <c r="O268" s="1" t="s">
        <v>171</v>
      </c>
      <c r="P268" s="1" t="s">
        <v>31</v>
      </c>
      <c r="Q268" s="2" t="b">
        <v>0</v>
      </c>
      <c r="R268" s="2" t="b">
        <v>0</v>
      </c>
      <c r="S268" s="1" t="s">
        <v>79</v>
      </c>
      <c r="T268" s="5">
        <v>5</v>
      </c>
      <c r="U268" s="5">
        <v>0</v>
      </c>
      <c r="V268" s="5">
        <v>5</v>
      </c>
      <c r="W268" s="1" t="s">
        <v>81</v>
      </c>
      <c r="X268" s="5">
        <v>0</v>
      </c>
      <c r="Y268" s="5">
        <v>2</v>
      </c>
      <c r="Z268" s="5">
        <v>2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2</v>
      </c>
      <c r="AK268" s="1" t="s">
        <v>81</v>
      </c>
      <c r="AL268" s="6">
        <v>17</v>
      </c>
      <c r="AM268" s="6">
        <v>0</v>
      </c>
      <c r="AN268" s="1">
        <v>8</v>
      </c>
      <c r="AO268" s="1">
        <v>0</v>
      </c>
      <c r="AP268" s="1">
        <v>82</v>
      </c>
      <c r="AQ268" s="1">
        <v>18</v>
      </c>
      <c r="AR268" s="1" t="s">
        <v>563</v>
      </c>
      <c r="AS268" s="1" t="s">
        <v>564</v>
      </c>
      <c r="AT268" s="1" t="s">
        <v>554</v>
      </c>
      <c r="AU268" s="1" t="s">
        <v>84</v>
      </c>
      <c r="AV268" s="1" t="s">
        <v>85</v>
      </c>
      <c r="AW268" s="1" t="s">
        <v>557</v>
      </c>
      <c r="AX268" s="1"/>
    </row>
    <row r="269" spans="1:50" ht="15" customHeight="1">
      <c r="A269" s="1">
        <v>2022</v>
      </c>
      <c r="B269" s="1" t="s">
        <v>552</v>
      </c>
      <c r="C269" s="1" t="s">
        <v>581</v>
      </c>
      <c r="D269" s="1" t="s">
        <v>72</v>
      </c>
      <c r="E269" s="1" t="s">
        <v>139</v>
      </c>
      <c r="F269" s="4">
        <v>44888</v>
      </c>
      <c r="G269" s="1" t="s">
        <v>377</v>
      </c>
      <c r="H269" s="1" t="s">
        <v>397</v>
      </c>
      <c r="I269" s="1" t="s">
        <v>582</v>
      </c>
      <c r="J269" s="5">
        <v>1</v>
      </c>
      <c r="K269" s="5">
        <v>0</v>
      </c>
      <c r="L269" s="1" t="s">
        <v>101</v>
      </c>
      <c r="M269" s="1" t="s">
        <v>78</v>
      </c>
      <c r="N269" s="1" t="s">
        <v>397</v>
      </c>
      <c r="O269" s="1" t="s">
        <v>397</v>
      </c>
      <c r="P269" s="1" t="s">
        <v>31</v>
      </c>
      <c r="Q269" s="2" t="b">
        <v>0</v>
      </c>
      <c r="R269" s="2" t="b">
        <v>0</v>
      </c>
      <c r="S269" s="1" t="s">
        <v>79</v>
      </c>
      <c r="T269" s="5">
        <v>4</v>
      </c>
      <c r="U269" s="5">
        <v>4</v>
      </c>
      <c r="V269" s="5">
        <v>8</v>
      </c>
      <c r="W269" s="1" t="s">
        <v>81</v>
      </c>
      <c r="X269" s="5">
        <v>3</v>
      </c>
      <c r="Y269" s="5">
        <v>2</v>
      </c>
      <c r="Z269" s="5">
        <v>5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5</v>
      </c>
      <c r="AK269" s="1" t="s">
        <v>81</v>
      </c>
      <c r="AL269" s="6">
        <v>9</v>
      </c>
      <c r="AM269" s="6">
        <v>21</v>
      </c>
      <c r="AN269" s="1">
        <v>3</v>
      </c>
      <c r="AO269" s="1">
        <v>3</v>
      </c>
      <c r="AP269" s="1">
        <v>46</v>
      </c>
      <c r="AQ269" s="1">
        <v>54</v>
      </c>
      <c r="AR269" s="1" t="s">
        <v>567</v>
      </c>
      <c r="AS269" s="1" t="s">
        <v>561</v>
      </c>
      <c r="AT269" s="1" t="s">
        <v>554</v>
      </c>
      <c r="AU269" s="1" t="s">
        <v>84</v>
      </c>
      <c r="AV269" s="1" t="s">
        <v>85</v>
      </c>
      <c r="AW269" s="1" t="s">
        <v>557</v>
      </c>
      <c r="AX269" s="1"/>
    </row>
    <row r="270" spans="1:50" ht="15" customHeight="1">
      <c r="A270" s="1">
        <v>2022</v>
      </c>
      <c r="B270" s="1" t="s">
        <v>552</v>
      </c>
      <c r="C270" s="1" t="s">
        <v>583</v>
      </c>
      <c r="D270" s="1" t="s">
        <v>72</v>
      </c>
      <c r="E270" s="1" t="s">
        <v>156</v>
      </c>
      <c r="F270" s="4">
        <v>44889</v>
      </c>
      <c r="G270" s="1" t="s">
        <v>356</v>
      </c>
      <c r="H270" s="1" t="s">
        <v>161</v>
      </c>
      <c r="I270" s="1" t="s">
        <v>283</v>
      </c>
      <c r="J270" s="5">
        <v>1</v>
      </c>
      <c r="K270" s="5">
        <v>0</v>
      </c>
      <c r="L270" s="1" t="s">
        <v>101</v>
      </c>
      <c r="M270" s="1" t="s">
        <v>78</v>
      </c>
      <c r="N270" s="1" t="s">
        <v>161</v>
      </c>
      <c r="O270" s="1" t="s">
        <v>161</v>
      </c>
      <c r="P270" s="1" t="s">
        <v>31</v>
      </c>
      <c r="Q270" s="2" t="b">
        <v>0</v>
      </c>
      <c r="R270" s="2" t="b">
        <v>0</v>
      </c>
      <c r="S270" s="1" t="s">
        <v>79</v>
      </c>
      <c r="T270" s="5">
        <v>11</v>
      </c>
      <c r="U270" s="5">
        <v>5</v>
      </c>
      <c r="V270" s="5">
        <v>16</v>
      </c>
      <c r="W270" s="1" t="s">
        <v>81</v>
      </c>
      <c r="X270" s="5">
        <v>2</v>
      </c>
      <c r="Y270" s="5">
        <v>1</v>
      </c>
      <c r="Z270" s="5">
        <v>3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3</v>
      </c>
      <c r="AK270" s="1" t="s">
        <v>81</v>
      </c>
      <c r="AL270" s="6">
        <v>7</v>
      </c>
      <c r="AM270" s="6">
        <v>8</v>
      </c>
      <c r="AN270" s="1">
        <v>3</v>
      </c>
      <c r="AO270" s="1">
        <v>5</v>
      </c>
      <c r="AP270" s="1">
        <v>49</v>
      </c>
      <c r="AQ270" s="1">
        <v>51</v>
      </c>
      <c r="AR270" s="1" t="s">
        <v>576</v>
      </c>
      <c r="AS270" s="1" t="s">
        <v>577</v>
      </c>
      <c r="AT270" s="1" t="s">
        <v>554</v>
      </c>
      <c r="AU270" s="1" t="s">
        <v>84</v>
      </c>
      <c r="AV270" s="1" t="s">
        <v>85</v>
      </c>
      <c r="AW270" s="1" t="s">
        <v>557</v>
      </c>
      <c r="AX270" s="1"/>
    </row>
    <row r="271" spans="1:50" ht="15" customHeight="1">
      <c r="A271" s="1">
        <v>2022</v>
      </c>
      <c r="B271" s="1" t="s">
        <v>552</v>
      </c>
      <c r="C271" s="1" t="s">
        <v>584</v>
      </c>
      <c r="D271" s="1" t="s">
        <v>72</v>
      </c>
      <c r="E271" s="1" t="s">
        <v>170</v>
      </c>
      <c r="F271" s="4">
        <v>44889</v>
      </c>
      <c r="G271" s="1" t="s">
        <v>199</v>
      </c>
      <c r="H271" s="1" t="s">
        <v>254</v>
      </c>
      <c r="I271" s="1" t="s">
        <v>157</v>
      </c>
      <c r="J271" s="5">
        <v>0</v>
      </c>
      <c r="K271" s="5">
        <v>0</v>
      </c>
      <c r="L271" s="1" t="s">
        <v>107</v>
      </c>
      <c r="M271" s="1" t="s">
        <v>108</v>
      </c>
      <c r="N271" s="1" t="s">
        <v>109</v>
      </c>
      <c r="O271" s="1"/>
      <c r="P271" s="1" t="s">
        <v>110</v>
      </c>
      <c r="Q271" s="2" t="b">
        <v>0</v>
      </c>
      <c r="R271" s="2" t="b">
        <v>0</v>
      </c>
      <c r="S271" s="1" t="s">
        <v>79</v>
      </c>
      <c r="T271" s="5">
        <v>4</v>
      </c>
      <c r="U271" s="5">
        <v>3</v>
      </c>
      <c r="V271" s="5">
        <v>7</v>
      </c>
      <c r="W271" s="1" t="s">
        <v>81</v>
      </c>
      <c r="X271" s="5">
        <v>1</v>
      </c>
      <c r="Y271" s="5">
        <v>1</v>
      </c>
      <c r="Z271" s="5">
        <v>2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2</v>
      </c>
      <c r="AK271" s="1" t="s">
        <v>81</v>
      </c>
      <c r="AL271" s="6">
        <v>10</v>
      </c>
      <c r="AM271" s="6">
        <v>7</v>
      </c>
      <c r="AN271" s="1">
        <v>1</v>
      </c>
      <c r="AO271" s="1">
        <v>0</v>
      </c>
      <c r="AP271" s="1">
        <v>51</v>
      </c>
      <c r="AQ271" s="1">
        <v>49</v>
      </c>
      <c r="AR271" s="1" t="s">
        <v>572</v>
      </c>
      <c r="AS271" s="1" t="s">
        <v>561</v>
      </c>
      <c r="AT271" s="1" t="s">
        <v>554</v>
      </c>
      <c r="AU271" s="1" t="s">
        <v>84</v>
      </c>
      <c r="AV271" s="1" t="s">
        <v>85</v>
      </c>
      <c r="AW271" s="1" t="s">
        <v>557</v>
      </c>
      <c r="AX271" s="1"/>
    </row>
    <row r="272" spans="1:50" ht="15" customHeight="1">
      <c r="A272" s="1">
        <v>2022</v>
      </c>
      <c r="B272" s="1" t="s">
        <v>552</v>
      </c>
      <c r="C272" s="1" t="s">
        <v>585</v>
      </c>
      <c r="D272" s="1" t="s">
        <v>72</v>
      </c>
      <c r="E272" s="1" t="s">
        <v>170</v>
      </c>
      <c r="F272" s="4">
        <v>44889</v>
      </c>
      <c r="G272" s="1" t="s">
        <v>387</v>
      </c>
      <c r="H272" s="1" t="s">
        <v>135</v>
      </c>
      <c r="I272" s="1" t="s">
        <v>151</v>
      </c>
      <c r="J272" s="5">
        <v>3</v>
      </c>
      <c r="K272" s="5">
        <v>2</v>
      </c>
      <c r="L272" s="1" t="s">
        <v>207</v>
      </c>
      <c r="M272" s="1" t="s">
        <v>78</v>
      </c>
      <c r="N272" s="1" t="s">
        <v>135</v>
      </c>
      <c r="O272" s="1" t="s">
        <v>135</v>
      </c>
      <c r="P272" s="1" t="s">
        <v>31</v>
      </c>
      <c r="Q272" s="2" t="b">
        <v>0</v>
      </c>
      <c r="R272" s="2" t="b">
        <v>0</v>
      </c>
      <c r="S272" s="1" t="s">
        <v>79</v>
      </c>
      <c r="T272" s="5">
        <v>3</v>
      </c>
      <c r="U272" s="5">
        <v>3</v>
      </c>
      <c r="V272" s="5">
        <v>6</v>
      </c>
      <c r="W272" s="1" t="s">
        <v>81</v>
      </c>
      <c r="X272" s="5">
        <v>2</v>
      </c>
      <c r="Y272" s="5">
        <v>4</v>
      </c>
      <c r="Z272" s="5">
        <v>6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6</v>
      </c>
      <c r="AK272" s="1" t="s">
        <v>81</v>
      </c>
      <c r="AL272" s="6">
        <v>11</v>
      </c>
      <c r="AM272" s="6">
        <v>9</v>
      </c>
      <c r="AN272" s="1">
        <v>5</v>
      </c>
      <c r="AO272" s="1">
        <v>3</v>
      </c>
      <c r="AP272" s="1">
        <v>62</v>
      </c>
      <c r="AQ272" s="1">
        <v>38</v>
      </c>
      <c r="AR272" s="1" t="s">
        <v>574</v>
      </c>
      <c r="AS272" s="1" t="s">
        <v>564</v>
      </c>
      <c r="AT272" s="1" t="s">
        <v>554</v>
      </c>
      <c r="AU272" s="1" t="s">
        <v>84</v>
      </c>
      <c r="AV272" s="1" t="s">
        <v>85</v>
      </c>
      <c r="AW272" s="1" t="s">
        <v>557</v>
      </c>
      <c r="AX272" s="1"/>
    </row>
    <row r="273" spans="1:50" ht="15" customHeight="1">
      <c r="A273" s="1">
        <v>2022</v>
      </c>
      <c r="B273" s="1" t="s">
        <v>552</v>
      </c>
      <c r="C273" s="1" t="s">
        <v>586</v>
      </c>
      <c r="D273" s="1" t="s">
        <v>72</v>
      </c>
      <c r="E273" s="1" t="s">
        <v>156</v>
      </c>
      <c r="F273" s="4">
        <v>44889</v>
      </c>
      <c r="G273" s="1" t="s">
        <v>377</v>
      </c>
      <c r="H273" s="1" t="s">
        <v>165</v>
      </c>
      <c r="I273" s="1" t="s">
        <v>274</v>
      </c>
      <c r="J273" s="5">
        <v>2</v>
      </c>
      <c r="K273" s="5">
        <v>0</v>
      </c>
      <c r="L273" s="1" t="s">
        <v>152</v>
      </c>
      <c r="M273" s="1" t="s">
        <v>78</v>
      </c>
      <c r="N273" s="1" t="s">
        <v>165</v>
      </c>
      <c r="O273" s="1" t="s">
        <v>165</v>
      </c>
      <c r="P273" s="1" t="s">
        <v>31</v>
      </c>
      <c r="Q273" s="2" t="b">
        <v>0</v>
      </c>
      <c r="R273" s="2" t="b">
        <v>0</v>
      </c>
      <c r="S273" s="1" t="s">
        <v>79</v>
      </c>
      <c r="T273" s="5">
        <v>6</v>
      </c>
      <c r="U273" s="5">
        <v>4</v>
      </c>
      <c r="V273" s="5">
        <v>10</v>
      </c>
      <c r="W273" s="1" t="s">
        <v>81</v>
      </c>
      <c r="X273" s="5">
        <v>0</v>
      </c>
      <c r="Y273" s="5">
        <v>3</v>
      </c>
      <c r="Z273" s="5">
        <v>3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3</v>
      </c>
      <c r="AK273" s="1" t="s">
        <v>81</v>
      </c>
      <c r="AL273" s="6">
        <v>22</v>
      </c>
      <c r="AM273" s="6">
        <v>5</v>
      </c>
      <c r="AN273" s="1">
        <v>8</v>
      </c>
      <c r="AO273" s="1">
        <v>0</v>
      </c>
      <c r="AP273" s="1">
        <v>62</v>
      </c>
      <c r="AQ273" s="1">
        <v>38</v>
      </c>
      <c r="AR273" s="1" t="s">
        <v>569</v>
      </c>
      <c r="AS273" s="1" t="s">
        <v>570</v>
      </c>
      <c r="AT273" s="1" t="s">
        <v>554</v>
      </c>
      <c r="AU273" s="1" t="s">
        <v>84</v>
      </c>
      <c r="AV273" s="1" t="s">
        <v>85</v>
      </c>
      <c r="AW273" s="1" t="s">
        <v>557</v>
      </c>
      <c r="AX273" s="1"/>
    </row>
    <row r="274" spans="1:50" ht="15" customHeight="1">
      <c r="A274" s="1">
        <v>2022</v>
      </c>
      <c r="B274" s="1" t="s">
        <v>552</v>
      </c>
      <c r="C274" s="1" t="s">
        <v>587</v>
      </c>
      <c r="D274" s="1" t="s">
        <v>72</v>
      </c>
      <c r="E274" s="1" t="s">
        <v>97</v>
      </c>
      <c r="F274" s="4">
        <v>44890</v>
      </c>
      <c r="G274" s="1" t="s">
        <v>356</v>
      </c>
      <c r="H274" s="1" t="s">
        <v>566</v>
      </c>
      <c r="I274" s="1" t="s">
        <v>129</v>
      </c>
      <c r="J274" s="5">
        <v>0</v>
      </c>
      <c r="K274" s="5">
        <v>2</v>
      </c>
      <c r="L274" s="1" t="s">
        <v>92</v>
      </c>
      <c r="M274" s="1" t="s">
        <v>93</v>
      </c>
      <c r="N274" s="1" t="s">
        <v>129</v>
      </c>
      <c r="O274" s="1" t="s">
        <v>129</v>
      </c>
      <c r="P274" s="1" t="s">
        <v>31</v>
      </c>
      <c r="Q274" s="2" t="b">
        <v>0</v>
      </c>
      <c r="R274" s="2" t="b">
        <v>0</v>
      </c>
      <c r="S274" s="1" t="s">
        <v>79</v>
      </c>
      <c r="T274" s="5">
        <v>2</v>
      </c>
      <c r="U274" s="5">
        <v>7</v>
      </c>
      <c r="V274" s="5">
        <v>9</v>
      </c>
      <c r="W274" s="1" t="s">
        <v>81</v>
      </c>
      <c r="X274" s="5">
        <v>1</v>
      </c>
      <c r="Y274" s="5">
        <v>2</v>
      </c>
      <c r="Z274" s="5">
        <v>3</v>
      </c>
      <c r="AA274" s="5">
        <v>1</v>
      </c>
      <c r="AB274" s="5">
        <v>0</v>
      </c>
      <c r="AC274" s="5">
        <v>1</v>
      </c>
      <c r="AD274" s="5">
        <v>0</v>
      </c>
      <c r="AE274" s="5">
        <v>0</v>
      </c>
      <c r="AF274" s="5">
        <v>0</v>
      </c>
      <c r="AG274" s="5">
        <v>1</v>
      </c>
      <c r="AH274" s="5">
        <v>0</v>
      </c>
      <c r="AI274" s="5">
        <v>1</v>
      </c>
      <c r="AJ274" s="5">
        <v>4</v>
      </c>
      <c r="AK274" s="1" t="s">
        <v>81</v>
      </c>
      <c r="AL274" s="6">
        <v>10</v>
      </c>
      <c r="AM274" s="6">
        <v>21</v>
      </c>
      <c r="AN274" s="1">
        <v>3</v>
      </c>
      <c r="AO274" s="1">
        <v>6</v>
      </c>
      <c r="AP274" s="1">
        <v>62</v>
      </c>
      <c r="AQ274" s="1">
        <v>38</v>
      </c>
      <c r="AR274" s="1" t="s">
        <v>567</v>
      </c>
      <c r="AS274" s="1" t="s">
        <v>561</v>
      </c>
      <c r="AT274" s="1" t="s">
        <v>554</v>
      </c>
      <c r="AU274" s="1" t="s">
        <v>84</v>
      </c>
      <c r="AV274" s="1" t="s">
        <v>85</v>
      </c>
      <c r="AW274" s="1" t="s">
        <v>557</v>
      </c>
      <c r="AX274" s="1"/>
    </row>
    <row r="275" spans="1:50" ht="15" customHeight="1">
      <c r="A275" s="1">
        <v>2022</v>
      </c>
      <c r="B275" s="1" t="s">
        <v>552</v>
      </c>
      <c r="C275" s="1" t="s">
        <v>588</v>
      </c>
      <c r="D275" s="1" t="s">
        <v>72</v>
      </c>
      <c r="E275" s="1" t="s">
        <v>73</v>
      </c>
      <c r="F275" s="4">
        <v>44890</v>
      </c>
      <c r="G275" s="1" t="s">
        <v>199</v>
      </c>
      <c r="H275" s="1" t="s">
        <v>554</v>
      </c>
      <c r="I275" s="1" t="s">
        <v>500</v>
      </c>
      <c r="J275" s="5">
        <v>1</v>
      </c>
      <c r="K275" s="5">
        <v>3</v>
      </c>
      <c r="L275" s="1" t="s">
        <v>231</v>
      </c>
      <c r="M275" s="1" t="s">
        <v>93</v>
      </c>
      <c r="N275" s="1" t="s">
        <v>500</v>
      </c>
      <c r="O275" s="1" t="s">
        <v>500</v>
      </c>
      <c r="P275" s="1" t="s">
        <v>31</v>
      </c>
      <c r="Q275" s="2" t="b">
        <v>0</v>
      </c>
      <c r="R275" s="2" t="b">
        <v>0</v>
      </c>
      <c r="S275" s="1" t="s">
        <v>79</v>
      </c>
      <c r="T275" s="5">
        <v>6</v>
      </c>
      <c r="U275" s="5">
        <v>7</v>
      </c>
      <c r="V275" s="5">
        <v>13</v>
      </c>
      <c r="W275" s="1" t="s">
        <v>81</v>
      </c>
      <c r="X275" s="5">
        <v>3</v>
      </c>
      <c r="Y275" s="5">
        <v>3</v>
      </c>
      <c r="Z275" s="5">
        <v>6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6</v>
      </c>
      <c r="AK275" s="1" t="s">
        <v>81</v>
      </c>
      <c r="AL275" s="6">
        <v>10</v>
      </c>
      <c r="AM275" s="6">
        <v>12</v>
      </c>
      <c r="AN275" s="1">
        <v>3</v>
      </c>
      <c r="AO275" s="1">
        <v>5</v>
      </c>
      <c r="AP275" s="1">
        <v>45</v>
      </c>
      <c r="AQ275" s="1">
        <v>55</v>
      </c>
      <c r="AR275" s="1" t="s">
        <v>563</v>
      </c>
      <c r="AS275" s="1" t="s">
        <v>564</v>
      </c>
      <c r="AT275" s="1" t="s">
        <v>554</v>
      </c>
      <c r="AU275" s="1" t="s">
        <v>84</v>
      </c>
      <c r="AV275" s="1" t="s">
        <v>85</v>
      </c>
      <c r="AW275" s="1" t="s">
        <v>557</v>
      </c>
      <c r="AX275" s="1"/>
    </row>
    <row r="276" spans="1:50" ht="15" customHeight="1">
      <c r="A276" s="1">
        <v>2022</v>
      </c>
      <c r="B276" s="1" t="s">
        <v>552</v>
      </c>
      <c r="C276" s="1" t="s">
        <v>589</v>
      </c>
      <c r="D276" s="1" t="s">
        <v>72</v>
      </c>
      <c r="E276" s="1" t="s">
        <v>73</v>
      </c>
      <c r="F276" s="4">
        <v>44890</v>
      </c>
      <c r="G276" s="1" t="s">
        <v>387</v>
      </c>
      <c r="H276" s="1" t="s">
        <v>122</v>
      </c>
      <c r="I276" s="1" t="s">
        <v>91</v>
      </c>
      <c r="J276" s="5">
        <v>1</v>
      </c>
      <c r="K276" s="5">
        <v>1</v>
      </c>
      <c r="L276" s="1" t="s">
        <v>190</v>
      </c>
      <c r="M276" s="1" t="s">
        <v>108</v>
      </c>
      <c r="N276" s="1" t="s">
        <v>109</v>
      </c>
      <c r="O276" s="1"/>
      <c r="P276" s="1" t="s">
        <v>110</v>
      </c>
      <c r="Q276" s="2" t="b">
        <v>0</v>
      </c>
      <c r="R276" s="2" t="b">
        <v>0</v>
      </c>
      <c r="S276" s="1" t="s">
        <v>79</v>
      </c>
      <c r="T276" s="5">
        <v>2</v>
      </c>
      <c r="U276" s="5">
        <v>5</v>
      </c>
      <c r="V276" s="5">
        <v>7</v>
      </c>
      <c r="W276" s="1" t="s">
        <v>81</v>
      </c>
      <c r="X276" s="5">
        <v>0</v>
      </c>
      <c r="Y276" s="5">
        <v>1</v>
      </c>
      <c r="Z276" s="5">
        <v>1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1</v>
      </c>
      <c r="AK276" s="1" t="s">
        <v>81</v>
      </c>
      <c r="AL276" s="6">
        <v>2</v>
      </c>
      <c r="AM276" s="6">
        <v>15</v>
      </c>
      <c r="AN276" s="1">
        <v>1</v>
      </c>
      <c r="AO276" s="1">
        <v>4</v>
      </c>
      <c r="AP276" s="1">
        <v>55</v>
      </c>
      <c r="AQ276" s="1">
        <v>45</v>
      </c>
      <c r="AR276" s="1" t="s">
        <v>560</v>
      </c>
      <c r="AS276" s="1" t="s">
        <v>561</v>
      </c>
      <c r="AT276" s="1" t="s">
        <v>554</v>
      </c>
      <c r="AU276" s="1" t="s">
        <v>84</v>
      </c>
      <c r="AV276" s="1" t="s">
        <v>85</v>
      </c>
      <c r="AW276" s="1" t="s">
        <v>557</v>
      </c>
      <c r="AX276" s="1"/>
    </row>
    <row r="277" spans="1:50" ht="15" customHeight="1">
      <c r="A277" s="1">
        <v>2022</v>
      </c>
      <c r="B277" s="1" t="s">
        <v>552</v>
      </c>
      <c r="C277" s="1" t="s">
        <v>590</v>
      </c>
      <c r="D277" s="1" t="s">
        <v>72</v>
      </c>
      <c r="E277" s="1" t="s">
        <v>97</v>
      </c>
      <c r="F277" s="4">
        <v>44890</v>
      </c>
      <c r="G277" s="1" t="s">
        <v>377</v>
      </c>
      <c r="H277" s="1" t="s">
        <v>99</v>
      </c>
      <c r="I277" s="1" t="s">
        <v>146</v>
      </c>
      <c r="J277" s="5">
        <v>0</v>
      </c>
      <c r="K277" s="5">
        <v>0</v>
      </c>
      <c r="L277" s="1" t="s">
        <v>107</v>
      </c>
      <c r="M277" s="1" t="s">
        <v>108</v>
      </c>
      <c r="N277" s="1" t="s">
        <v>109</v>
      </c>
      <c r="O277" s="1"/>
      <c r="P277" s="1" t="s">
        <v>110</v>
      </c>
      <c r="Q277" s="2" t="b">
        <v>0</v>
      </c>
      <c r="R277" s="2" t="b">
        <v>0</v>
      </c>
      <c r="S277" s="1" t="s">
        <v>79</v>
      </c>
      <c r="T277" s="5">
        <v>3</v>
      </c>
      <c r="U277" s="5">
        <v>7</v>
      </c>
      <c r="V277" s="5">
        <v>10</v>
      </c>
      <c r="W277" s="1" t="s">
        <v>81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1" t="s">
        <v>81</v>
      </c>
      <c r="AL277" s="6">
        <v>8</v>
      </c>
      <c r="AM277" s="6">
        <v>10</v>
      </c>
      <c r="AN277" s="1">
        <v>3</v>
      </c>
      <c r="AO277" s="1">
        <v>1</v>
      </c>
      <c r="AP277" s="1">
        <v>54</v>
      </c>
      <c r="AQ277" s="1">
        <v>46</v>
      </c>
      <c r="AR277" s="1" t="s">
        <v>555</v>
      </c>
      <c r="AS277" s="1" t="s">
        <v>556</v>
      </c>
      <c r="AT277" s="1" t="s">
        <v>554</v>
      </c>
      <c r="AU277" s="1" t="s">
        <v>84</v>
      </c>
      <c r="AV277" s="1" t="s">
        <v>85</v>
      </c>
      <c r="AW277" s="1" t="s">
        <v>557</v>
      </c>
      <c r="AX277" s="1"/>
    </row>
    <row r="278" spans="1:50" ht="15" customHeight="1">
      <c r="A278" s="1">
        <v>2022</v>
      </c>
      <c r="B278" s="1" t="s">
        <v>552</v>
      </c>
      <c r="C278" s="1" t="s">
        <v>591</v>
      </c>
      <c r="D278" s="1" t="s">
        <v>72</v>
      </c>
      <c r="E278" s="1" t="s">
        <v>127</v>
      </c>
      <c r="F278" s="4">
        <v>44891</v>
      </c>
      <c r="G278" s="1" t="s">
        <v>356</v>
      </c>
      <c r="H278" s="1" t="s">
        <v>175</v>
      </c>
      <c r="I278" s="1" t="s">
        <v>140</v>
      </c>
      <c r="J278" s="5">
        <v>0</v>
      </c>
      <c r="K278" s="5">
        <v>1</v>
      </c>
      <c r="L278" s="1" t="s">
        <v>123</v>
      </c>
      <c r="M278" s="1" t="s">
        <v>93</v>
      </c>
      <c r="N278" s="1" t="s">
        <v>140</v>
      </c>
      <c r="O278" s="1" t="s">
        <v>140</v>
      </c>
      <c r="P278" s="1" t="s">
        <v>31</v>
      </c>
      <c r="Q278" s="2" t="b">
        <v>0</v>
      </c>
      <c r="R278" s="2" t="b">
        <v>0</v>
      </c>
      <c r="S278" s="1" t="s">
        <v>79</v>
      </c>
      <c r="T278" s="5">
        <v>5</v>
      </c>
      <c r="U278" s="5">
        <v>2</v>
      </c>
      <c r="V278" s="5">
        <v>7</v>
      </c>
      <c r="W278" s="1" t="s">
        <v>81</v>
      </c>
      <c r="X278" s="5">
        <v>3</v>
      </c>
      <c r="Y278" s="5">
        <v>0</v>
      </c>
      <c r="Z278" s="5">
        <v>3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3</v>
      </c>
      <c r="AK278" s="1" t="s">
        <v>81</v>
      </c>
      <c r="AL278" s="6">
        <v>13</v>
      </c>
      <c r="AM278" s="6">
        <v>9</v>
      </c>
      <c r="AN278" s="1">
        <v>4</v>
      </c>
      <c r="AO278" s="1">
        <v>2</v>
      </c>
      <c r="AP278" s="1">
        <v>58</v>
      </c>
      <c r="AQ278" s="1">
        <v>42</v>
      </c>
      <c r="AR278" s="1" t="s">
        <v>576</v>
      </c>
      <c r="AS278" s="1" t="s">
        <v>577</v>
      </c>
      <c r="AT278" s="1" t="s">
        <v>554</v>
      </c>
      <c r="AU278" s="1" t="s">
        <v>84</v>
      </c>
      <c r="AV278" s="1" t="s">
        <v>85</v>
      </c>
      <c r="AW278" s="1" t="s">
        <v>557</v>
      </c>
      <c r="AX278" s="1"/>
    </row>
    <row r="279" spans="1:50" ht="15" customHeight="1">
      <c r="A279" s="1">
        <v>2022</v>
      </c>
      <c r="B279" s="1" t="s">
        <v>552</v>
      </c>
      <c r="C279" s="1" t="s">
        <v>592</v>
      </c>
      <c r="D279" s="1" t="s">
        <v>72</v>
      </c>
      <c r="E279" s="1" t="s">
        <v>114</v>
      </c>
      <c r="F279" s="4">
        <v>44891</v>
      </c>
      <c r="G279" s="1" t="s">
        <v>199</v>
      </c>
      <c r="H279" s="1" t="s">
        <v>90</v>
      </c>
      <c r="I279" s="1" t="s">
        <v>176</v>
      </c>
      <c r="J279" s="5">
        <v>2</v>
      </c>
      <c r="K279" s="5">
        <v>0</v>
      </c>
      <c r="L279" s="1" t="s">
        <v>152</v>
      </c>
      <c r="M279" s="1" t="s">
        <v>78</v>
      </c>
      <c r="N279" s="1" t="s">
        <v>90</v>
      </c>
      <c r="O279" s="1" t="s">
        <v>90</v>
      </c>
      <c r="P279" s="1" t="s">
        <v>31</v>
      </c>
      <c r="Q279" s="2" t="b">
        <v>0</v>
      </c>
      <c r="R279" s="2" t="b">
        <v>0</v>
      </c>
      <c r="S279" s="1" t="s">
        <v>79</v>
      </c>
      <c r="T279" s="5">
        <v>4</v>
      </c>
      <c r="U279" s="5">
        <v>5</v>
      </c>
      <c r="V279" s="5">
        <v>9</v>
      </c>
      <c r="W279" s="1" t="s">
        <v>81</v>
      </c>
      <c r="X279" s="5">
        <v>3</v>
      </c>
      <c r="Y279" s="5">
        <v>2</v>
      </c>
      <c r="Z279" s="5">
        <v>5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5</v>
      </c>
      <c r="AK279" s="1" t="s">
        <v>81</v>
      </c>
      <c r="AL279" s="6">
        <v>9</v>
      </c>
      <c r="AM279" s="6">
        <v>16</v>
      </c>
      <c r="AN279" s="1">
        <v>3</v>
      </c>
      <c r="AO279" s="1">
        <v>5</v>
      </c>
      <c r="AP279" s="1">
        <v>36</v>
      </c>
      <c r="AQ279" s="1">
        <v>64</v>
      </c>
      <c r="AR279" s="1" t="s">
        <v>572</v>
      </c>
      <c r="AS279" s="1" t="s">
        <v>561</v>
      </c>
      <c r="AT279" s="1" t="s">
        <v>554</v>
      </c>
      <c r="AU279" s="1" t="s">
        <v>84</v>
      </c>
      <c r="AV279" s="1" t="s">
        <v>85</v>
      </c>
      <c r="AW279" s="1" t="s">
        <v>557</v>
      </c>
      <c r="AX279" s="1"/>
    </row>
    <row r="280" spans="1:50" ht="15" customHeight="1">
      <c r="A280" s="1">
        <v>2022</v>
      </c>
      <c r="B280" s="1" t="s">
        <v>552</v>
      </c>
      <c r="C280" s="1" t="s">
        <v>593</v>
      </c>
      <c r="D280" s="1" t="s">
        <v>72</v>
      </c>
      <c r="E280" s="1" t="s">
        <v>127</v>
      </c>
      <c r="F280" s="4">
        <v>44891</v>
      </c>
      <c r="G280" s="1" t="s">
        <v>387</v>
      </c>
      <c r="H280" s="1" t="s">
        <v>160</v>
      </c>
      <c r="I280" s="1" t="s">
        <v>281</v>
      </c>
      <c r="J280" s="5">
        <v>2</v>
      </c>
      <c r="K280" s="5">
        <v>1</v>
      </c>
      <c r="L280" s="1" t="s">
        <v>117</v>
      </c>
      <c r="M280" s="1" t="s">
        <v>78</v>
      </c>
      <c r="N280" s="1" t="s">
        <v>160</v>
      </c>
      <c r="O280" s="1" t="s">
        <v>160</v>
      </c>
      <c r="P280" s="1" t="s">
        <v>31</v>
      </c>
      <c r="Q280" s="2" t="b">
        <v>0</v>
      </c>
      <c r="R280" s="2" t="b">
        <v>0</v>
      </c>
      <c r="S280" s="1" t="s">
        <v>79</v>
      </c>
      <c r="T280" s="5">
        <v>6</v>
      </c>
      <c r="U280" s="5">
        <v>4</v>
      </c>
      <c r="V280" s="5">
        <v>10</v>
      </c>
      <c r="W280" s="1" t="s">
        <v>81</v>
      </c>
      <c r="X280" s="5">
        <v>1</v>
      </c>
      <c r="Y280" s="5">
        <v>2</v>
      </c>
      <c r="Z280" s="5">
        <v>3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3</v>
      </c>
      <c r="AK280" s="1" t="s">
        <v>81</v>
      </c>
      <c r="AL280" s="6">
        <v>21</v>
      </c>
      <c r="AM280" s="6">
        <v>10</v>
      </c>
      <c r="AN280" s="1">
        <v>7</v>
      </c>
      <c r="AO280" s="1">
        <v>2</v>
      </c>
      <c r="AP280" s="1">
        <v>49</v>
      </c>
      <c r="AQ280" s="1">
        <v>51</v>
      </c>
      <c r="AR280" s="1" t="s">
        <v>574</v>
      </c>
      <c r="AS280" s="1" t="s">
        <v>564</v>
      </c>
      <c r="AT280" s="1" t="s">
        <v>554</v>
      </c>
      <c r="AU280" s="1" t="s">
        <v>84</v>
      </c>
      <c r="AV280" s="1" t="s">
        <v>85</v>
      </c>
      <c r="AW280" s="1" t="s">
        <v>557</v>
      </c>
      <c r="AX280" s="1"/>
    </row>
    <row r="281" spans="1:50" ht="15" customHeight="1">
      <c r="A281" s="1">
        <v>2022</v>
      </c>
      <c r="B281" s="1" t="s">
        <v>552</v>
      </c>
      <c r="C281" s="1" t="s">
        <v>594</v>
      </c>
      <c r="D281" s="1" t="s">
        <v>72</v>
      </c>
      <c r="E281" s="1" t="s">
        <v>114</v>
      </c>
      <c r="F281" s="4">
        <v>44891</v>
      </c>
      <c r="G281" s="1" t="s">
        <v>377</v>
      </c>
      <c r="H281" s="1" t="s">
        <v>115</v>
      </c>
      <c r="I281" s="1" t="s">
        <v>128</v>
      </c>
      <c r="J281" s="5">
        <v>2</v>
      </c>
      <c r="K281" s="5">
        <v>0</v>
      </c>
      <c r="L281" s="1" t="s">
        <v>152</v>
      </c>
      <c r="M281" s="1" t="s">
        <v>78</v>
      </c>
      <c r="N281" s="1" t="s">
        <v>115</v>
      </c>
      <c r="O281" s="1" t="s">
        <v>115</v>
      </c>
      <c r="P281" s="1" t="s">
        <v>31</v>
      </c>
      <c r="Q281" s="2" t="b">
        <v>0</v>
      </c>
      <c r="R281" s="2" t="b">
        <v>0</v>
      </c>
      <c r="S281" s="1" t="s">
        <v>79</v>
      </c>
      <c r="T281" s="5">
        <v>4</v>
      </c>
      <c r="U281" s="5">
        <v>2</v>
      </c>
      <c r="V281" s="5">
        <v>6</v>
      </c>
      <c r="W281" s="1" t="s">
        <v>81</v>
      </c>
      <c r="X281" s="5">
        <v>1</v>
      </c>
      <c r="Y281" s="5">
        <v>4</v>
      </c>
      <c r="Z281" s="5">
        <v>5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5</v>
      </c>
      <c r="AK281" s="1" t="s">
        <v>81</v>
      </c>
      <c r="AL281" s="6">
        <v>5</v>
      </c>
      <c r="AM281" s="6">
        <v>4</v>
      </c>
      <c r="AN281" s="1">
        <v>2</v>
      </c>
      <c r="AO281" s="1">
        <v>1</v>
      </c>
      <c r="AP281" s="1">
        <v>59</v>
      </c>
      <c r="AQ281" s="1">
        <v>41</v>
      </c>
      <c r="AR281" s="1" t="s">
        <v>569</v>
      </c>
      <c r="AS281" s="1" t="s">
        <v>570</v>
      </c>
      <c r="AT281" s="1" t="s">
        <v>554</v>
      </c>
      <c r="AU281" s="1" t="s">
        <v>84</v>
      </c>
      <c r="AV281" s="1" t="s">
        <v>85</v>
      </c>
      <c r="AW281" s="1" t="s">
        <v>557</v>
      </c>
      <c r="AX281" s="1"/>
    </row>
    <row r="282" spans="1:50" ht="15" customHeight="1">
      <c r="A282" s="1">
        <v>2022</v>
      </c>
      <c r="B282" s="1" t="s">
        <v>552</v>
      </c>
      <c r="C282" s="1" t="s">
        <v>595</v>
      </c>
      <c r="D282" s="1" t="s">
        <v>72</v>
      </c>
      <c r="E282" s="1" t="s">
        <v>145</v>
      </c>
      <c r="F282" s="4">
        <v>44892</v>
      </c>
      <c r="G282" s="1" t="s">
        <v>356</v>
      </c>
      <c r="H282" s="1" t="s">
        <v>141</v>
      </c>
      <c r="I282" s="1" t="s">
        <v>76</v>
      </c>
      <c r="J282" s="5">
        <v>0</v>
      </c>
      <c r="K282" s="5">
        <v>1</v>
      </c>
      <c r="L282" s="1" t="s">
        <v>123</v>
      </c>
      <c r="M282" s="1" t="s">
        <v>93</v>
      </c>
      <c r="N282" s="1" t="s">
        <v>76</v>
      </c>
      <c r="O282" s="1" t="s">
        <v>76</v>
      </c>
      <c r="P282" s="1" t="s">
        <v>31</v>
      </c>
      <c r="Q282" s="2" t="b">
        <v>0</v>
      </c>
      <c r="R282" s="2" t="b">
        <v>0</v>
      </c>
      <c r="S282" s="1" t="s">
        <v>79</v>
      </c>
      <c r="T282" s="5">
        <v>5</v>
      </c>
      <c r="U282" s="5">
        <v>0</v>
      </c>
      <c r="V282" s="5">
        <v>5</v>
      </c>
      <c r="W282" s="1" t="s">
        <v>81</v>
      </c>
      <c r="X282" s="5">
        <v>3</v>
      </c>
      <c r="Y282" s="5">
        <v>3</v>
      </c>
      <c r="Z282" s="5">
        <v>6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6</v>
      </c>
      <c r="AK282" s="1" t="s">
        <v>81</v>
      </c>
      <c r="AL282" s="6">
        <v>13</v>
      </c>
      <c r="AM282" s="6">
        <v>4</v>
      </c>
      <c r="AN282" s="1">
        <v>3</v>
      </c>
      <c r="AO282" s="1">
        <v>1</v>
      </c>
      <c r="AP282" s="1">
        <v>57</v>
      </c>
      <c r="AQ282" s="1">
        <v>43</v>
      </c>
      <c r="AR282" s="1" t="s">
        <v>567</v>
      </c>
      <c r="AS282" s="1" t="s">
        <v>561</v>
      </c>
      <c r="AT282" s="1" t="s">
        <v>554</v>
      </c>
      <c r="AU282" s="1" t="s">
        <v>84</v>
      </c>
      <c r="AV282" s="1" t="s">
        <v>85</v>
      </c>
      <c r="AW282" s="1" t="s">
        <v>557</v>
      </c>
      <c r="AX282" s="1"/>
    </row>
    <row r="283" spans="1:50" ht="15" customHeight="1">
      <c r="A283" s="1">
        <v>2022</v>
      </c>
      <c r="B283" s="1" t="s">
        <v>552</v>
      </c>
      <c r="C283" s="1" t="s">
        <v>596</v>
      </c>
      <c r="D283" s="1" t="s">
        <v>72</v>
      </c>
      <c r="E283" s="1" t="s">
        <v>139</v>
      </c>
      <c r="F283" s="4">
        <v>44892</v>
      </c>
      <c r="G283" s="1" t="s">
        <v>199</v>
      </c>
      <c r="H283" s="1" t="s">
        <v>397</v>
      </c>
      <c r="I283" s="1" t="s">
        <v>463</v>
      </c>
      <c r="J283" s="5">
        <v>0</v>
      </c>
      <c r="K283" s="5">
        <v>2</v>
      </c>
      <c r="L283" s="1" t="s">
        <v>92</v>
      </c>
      <c r="M283" s="1" t="s">
        <v>93</v>
      </c>
      <c r="N283" s="1" t="s">
        <v>463</v>
      </c>
      <c r="O283" s="1" t="s">
        <v>463</v>
      </c>
      <c r="P283" s="1" t="s">
        <v>31</v>
      </c>
      <c r="Q283" s="2" t="b">
        <v>0</v>
      </c>
      <c r="R283" s="2" t="b">
        <v>0</v>
      </c>
      <c r="S283" s="1" t="s">
        <v>79</v>
      </c>
      <c r="T283" s="5">
        <v>9</v>
      </c>
      <c r="U283" s="5">
        <v>1</v>
      </c>
      <c r="V283" s="5">
        <v>10</v>
      </c>
      <c r="W283" s="1" t="s">
        <v>81</v>
      </c>
      <c r="X283" s="5">
        <v>1</v>
      </c>
      <c r="Y283" s="5">
        <v>1</v>
      </c>
      <c r="Z283" s="5">
        <v>2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2</v>
      </c>
      <c r="AK283" s="1" t="s">
        <v>81</v>
      </c>
      <c r="AL283" s="6">
        <v>10</v>
      </c>
      <c r="AM283" s="6">
        <v>10</v>
      </c>
      <c r="AN283" s="1">
        <v>3</v>
      </c>
      <c r="AO283" s="1">
        <v>4</v>
      </c>
      <c r="AP283" s="1">
        <v>67</v>
      </c>
      <c r="AQ283" s="1">
        <v>33</v>
      </c>
      <c r="AR283" s="1" t="s">
        <v>563</v>
      </c>
      <c r="AS283" s="1" t="s">
        <v>564</v>
      </c>
      <c r="AT283" s="1" t="s">
        <v>554</v>
      </c>
      <c r="AU283" s="1" t="s">
        <v>84</v>
      </c>
      <c r="AV283" s="1" t="s">
        <v>85</v>
      </c>
      <c r="AW283" s="1" t="s">
        <v>557</v>
      </c>
      <c r="AX283" s="1"/>
    </row>
    <row r="284" spans="1:50" ht="15" customHeight="1">
      <c r="A284" s="1">
        <v>2022</v>
      </c>
      <c r="B284" s="1" t="s">
        <v>552</v>
      </c>
      <c r="C284" s="1" t="s">
        <v>597</v>
      </c>
      <c r="D284" s="1" t="s">
        <v>72</v>
      </c>
      <c r="E284" s="1" t="s">
        <v>139</v>
      </c>
      <c r="F284" s="4">
        <v>44892</v>
      </c>
      <c r="G284" s="1" t="s">
        <v>387</v>
      </c>
      <c r="H284" s="1" t="s">
        <v>166</v>
      </c>
      <c r="I284" s="1" t="s">
        <v>582</v>
      </c>
      <c r="J284" s="5">
        <v>4</v>
      </c>
      <c r="K284" s="5">
        <v>1</v>
      </c>
      <c r="L284" s="1" t="s">
        <v>301</v>
      </c>
      <c r="M284" s="1" t="s">
        <v>78</v>
      </c>
      <c r="N284" s="1" t="s">
        <v>166</v>
      </c>
      <c r="O284" s="1" t="s">
        <v>166</v>
      </c>
      <c r="P284" s="1" t="s">
        <v>31</v>
      </c>
      <c r="Q284" s="2" t="b">
        <v>0</v>
      </c>
      <c r="R284" s="2" t="b">
        <v>0</v>
      </c>
      <c r="S284" s="1" t="s">
        <v>79</v>
      </c>
      <c r="T284" s="5">
        <v>5</v>
      </c>
      <c r="U284" s="5">
        <v>2</v>
      </c>
      <c r="V284" s="5">
        <v>7</v>
      </c>
      <c r="W284" s="1" t="s">
        <v>81</v>
      </c>
      <c r="X284" s="5">
        <v>2</v>
      </c>
      <c r="Y284" s="5">
        <v>2</v>
      </c>
      <c r="Z284" s="5">
        <v>4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4</v>
      </c>
      <c r="AK284" s="1" t="s">
        <v>81</v>
      </c>
      <c r="AL284" s="6">
        <v>13</v>
      </c>
      <c r="AM284" s="6">
        <v>8</v>
      </c>
      <c r="AN284" s="1">
        <v>10</v>
      </c>
      <c r="AO284" s="1">
        <v>2</v>
      </c>
      <c r="AP284" s="1">
        <v>48</v>
      </c>
      <c r="AQ284" s="1">
        <v>52</v>
      </c>
      <c r="AR284" s="1" t="s">
        <v>560</v>
      </c>
      <c r="AS284" s="1" t="s">
        <v>561</v>
      </c>
      <c r="AT284" s="1" t="s">
        <v>554</v>
      </c>
      <c r="AU284" s="1" t="s">
        <v>84</v>
      </c>
      <c r="AV284" s="1" t="s">
        <v>85</v>
      </c>
      <c r="AW284" s="1" t="s">
        <v>557</v>
      </c>
      <c r="AX284" s="1"/>
    </row>
    <row r="285" spans="1:50" ht="15" customHeight="1">
      <c r="A285" s="1">
        <v>2022</v>
      </c>
      <c r="B285" s="1" t="s">
        <v>552</v>
      </c>
      <c r="C285" s="1" t="s">
        <v>598</v>
      </c>
      <c r="D285" s="1" t="s">
        <v>72</v>
      </c>
      <c r="E285" s="1" t="s">
        <v>145</v>
      </c>
      <c r="F285" s="4">
        <v>44892</v>
      </c>
      <c r="G285" s="1" t="s">
        <v>377</v>
      </c>
      <c r="H285" s="1" t="s">
        <v>171</v>
      </c>
      <c r="I285" s="1" t="s">
        <v>75</v>
      </c>
      <c r="J285" s="5">
        <v>1</v>
      </c>
      <c r="K285" s="5">
        <v>1</v>
      </c>
      <c r="L285" s="1" t="s">
        <v>190</v>
      </c>
      <c r="M285" s="1" t="s">
        <v>108</v>
      </c>
      <c r="N285" s="1" t="s">
        <v>109</v>
      </c>
      <c r="O285" s="1"/>
      <c r="P285" s="1" t="s">
        <v>110</v>
      </c>
      <c r="Q285" s="2" t="b">
        <v>0</v>
      </c>
      <c r="R285" s="2" t="b">
        <v>0</v>
      </c>
      <c r="S285" s="1" t="s">
        <v>79</v>
      </c>
      <c r="T285" s="5">
        <v>6</v>
      </c>
      <c r="U285" s="5">
        <v>5</v>
      </c>
      <c r="V285" s="5">
        <v>11</v>
      </c>
      <c r="W285" s="1" t="s">
        <v>81</v>
      </c>
      <c r="X285" s="5">
        <v>1</v>
      </c>
      <c r="Y285" s="5">
        <v>3</v>
      </c>
      <c r="Z285" s="5">
        <v>4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4</v>
      </c>
      <c r="AK285" s="1" t="s">
        <v>81</v>
      </c>
      <c r="AL285" s="6">
        <v>7</v>
      </c>
      <c r="AM285" s="6">
        <v>11</v>
      </c>
      <c r="AN285" s="1">
        <v>3</v>
      </c>
      <c r="AO285" s="1">
        <v>4</v>
      </c>
      <c r="AP285" s="1">
        <v>64</v>
      </c>
      <c r="AQ285" s="1">
        <v>36</v>
      </c>
      <c r="AR285" s="1" t="s">
        <v>555</v>
      </c>
      <c r="AS285" s="1" t="s">
        <v>556</v>
      </c>
      <c r="AT285" s="1" t="s">
        <v>554</v>
      </c>
      <c r="AU285" s="1" t="s">
        <v>84</v>
      </c>
      <c r="AV285" s="1" t="s">
        <v>85</v>
      </c>
      <c r="AW285" s="1" t="s">
        <v>557</v>
      </c>
      <c r="AX285" s="1"/>
    </row>
    <row r="286" spans="1:50" ht="15" customHeight="1">
      <c r="A286" s="1">
        <v>2022</v>
      </c>
      <c r="B286" s="1" t="s">
        <v>552</v>
      </c>
      <c r="C286" s="1" t="s">
        <v>599</v>
      </c>
      <c r="D286" s="1" t="s">
        <v>72</v>
      </c>
      <c r="E286" s="1" t="s">
        <v>156</v>
      </c>
      <c r="F286" s="4">
        <v>44893</v>
      </c>
      <c r="G286" s="1" t="s">
        <v>356</v>
      </c>
      <c r="H286" s="1" t="s">
        <v>283</v>
      </c>
      <c r="I286" s="1" t="s">
        <v>274</v>
      </c>
      <c r="J286" s="5">
        <v>3</v>
      </c>
      <c r="K286" s="5">
        <v>3</v>
      </c>
      <c r="L286" s="1" t="s">
        <v>467</v>
      </c>
      <c r="M286" s="1" t="s">
        <v>108</v>
      </c>
      <c r="N286" s="1" t="s">
        <v>109</v>
      </c>
      <c r="O286" s="1"/>
      <c r="P286" s="1" t="s">
        <v>110</v>
      </c>
      <c r="Q286" s="2" t="b">
        <v>0</v>
      </c>
      <c r="R286" s="2" t="b">
        <v>0</v>
      </c>
      <c r="S286" s="1" t="s">
        <v>79</v>
      </c>
      <c r="T286" s="5">
        <v>4</v>
      </c>
      <c r="U286" s="5">
        <v>3</v>
      </c>
      <c r="V286" s="5">
        <v>7</v>
      </c>
      <c r="W286" s="1" t="s">
        <v>81</v>
      </c>
      <c r="X286" s="5">
        <v>2</v>
      </c>
      <c r="Y286" s="5">
        <v>2</v>
      </c>
      <c r="Z286" s="5">
        <v>4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4</v>
      </c>
      <c r="AK286" s="1" t="s">
        <v>81</v>
      </c>
      <c r="AL286" s="6">
        <v>13</v>
      </c>
      <c r="AM286" s="6">
        <v>15</v>
      </c>
      <c r="AN286" s="1">
        <v>8</v>
      </c>
      <c r="AO286" s="1">
        <v>5</v>
      </c>
      <c r="AP286" s="1">
        <v>41</v>
      </c>
      <c r="AQ286" s="1">
        <v>59</v>
      </c>
      <c r="AR286" s="1" t="s">
        <v>576</v>
      </c>
      <c r="AS286" s="1" t="s">
        <v>577</v>
      </c>
      <c r="AT286" s="1" t="s">
        <v>554</v>
      </c>
      <c r="AU286" s="1" t="s">
        <v>84</v>
      </c>
      <c r="AV286" s="1" t="s">
        <v>85</v>
      </c>
      <c r="AW286" s="1" t="s">
        <v>557</v>
      </c>
      <c r="AX286" s="1"/>
    </row>
    <row r="287" spans="1:50" ht="15" customHeight="1">
      <c r="A287" s="1">
        <v>2022</v>
      </c>
      <c r="B287" s="1" t="s">
        <v>552</v>
      </c>
      <c r="C287" s="1" t="s">
        <v>600</v>
      </c>
      <c r="D287" s="1" t="s">
        <v>72</v>
      </c>
      <c r="E287" s="1" t="s">
        <v>170</v>
      </c>
      <c r="F287" s="4">
        <v>44893</v>
      </c>
      <c r="G287" s="1" t="s">
        <v>199</v>
      </c>
      <c r="H287" s="1" t="s">
        <v>157</v>
      </c>
      <c r="I287" s="1" t="s">
        <v>151</v>
      </c>
      <c r="J287" s="5">
        <v>2</v>
      </c>
      <c r="K287" s="5">
        <v>3</v>
      </c>
      <c r="L287" s="1" t="s">
        <v>346</v>
      </c>
      <c r="M287" s="1" t="s">
        <v>93</v>
      </c>
      <c r="N287" s="1" t="s">
        <v>151</v>
      </c>
      <c r="O287" s="1" t="s">
        <v>151</v>
      </c>
      <c r="P287" s="1" t="s">
        <v>31</v>
      </c>
      <c r="Q287" s="2" t="b">
        <v>0</v>
      </c>
      <c r="R287" s="2" t="b">
        <v>0</v>
      </c>
      <c r="S287" s="1" t="s">
        <v>79</v>
      </c>
      <c r="T287" s="5">
        <v>12</v>
      </c>
      <c r="U287" s="5">
        <v>5</v>
      </c>
      <c r="V287" s="5">
        <v>17</v>
      </c>
      <c r="W287" s="1" t="s">
        <v>81</v>
      </c>
      <c r="X287" s="5">
        <v>2</v>
      </c>
      <c r="Y287" s="5">
        <v>2</v>
      </c>
      <c r="Z287" s="5">
        <v>4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4</v>
      </c>
      <c r="AK287" s="1" t="s">
        <v>81</v>
      </c>
      <c r="AL287" s="6">
        <v>22</v>
      </c>
      <c r="AM287" s="6">
        <v>7</v>
      </c>
      <c r="AN287" s="1">
        <v>7</v>
      </c>
      <c r="AO287" s="1">
        <v>3</v>
      </c>
      <c r="AP287" s="1">
        <v>63</v>
      </c>
      <c r="AQ287" s="1">
        <v>37</v>
      </c>
      <c r="AR287" s="1" t="s">
        <v>572</v>
      </c>
      <c r="AS287" s="1" t="s">
        <v>561</v>
      </c>
      <c r="AT287" s="1" t="s">
        <v>554</v>
      </c>
      <c r="AU287" s="1" t="s">
        <v>84</v>
      </c>
      <c r="AV287" s="1" t="s">
        <v>85</v>
      </c>
      <c r="AW287" s="1" t="s">
        <v>557</v>
      </c>
      <c r="AX287" s="1"/>
    </row>
    <row r="288" spans="1:50" ht="15" customHeight="1">
      <c r="A288" s="1">
        <v>2022</v>
      </c>
      <c r="B288" s="1" t="s">
        <v>552</v>
      </c>
      <c r="C288" s="1" t="s">
        <v>601</v>
      </c>
      <c r="D288" s="1" t="s">
        <v>72</v>
      </c>
      <c r="E288" s="1" t="s">
        <v>156</v>
      </c>
      <c r="F288" s="4">
        <v>44893</v>
      </c>
      <c r="G288" s="1" t="s">
        <v>387</v>
      </c>
      <c r="H288" s="1" t="s">
        <v>165</v>
      </c>
      <c r="I288" s="1" t="s">
        <v>161</v>
      </c>
      <c r="J288" s="5">
        <v>1</v>
      </c>
      <c r="K288" s="5">
        <v>0</v>
      </c>
      <c r="L288" s="1" t="s">
        <v>101</v>
      </c>
      <c r="M288" s="1" t="s">
        <v>78</v>
      </c>
      <c r="N288" s="1" t="s">
        <v>165</v>
      </c>
      <c r="O288" s="1" t="s">
        <v>165</v>
      </c>
      <c r="P288" s="1" t="s">
        <v>31</v>
      </c>
      <c r="Q288" s="2" t="b">
        <v>0</v>
      </c>
      <c r="R288" s="2" t="b">
        <v>0</v>
      </c>
      <c r="S288" s="1" t="s">
        <v>79</v>
      </c>
      <c r="T288" s="5">
        <v>8</v>
      </c>
      <c r="U288" s="5">
        <v>3</v>
      </c>
      <c r="V288" s="5">
        <v>11</v>
      </c>
      <c r="W288" s="1" t="s">
        <v>81</v>
      </c>
      <c r="X288" s="5">
        <v>1</v>
      </c>
      <c r="Y288" s="5">
        <v>1</v>
      </c>
      <c r="Z288" s="5">
        <v>2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2</v>
      </c>
      <c r="AK288" s="1" t="s">
        <v>81</v>
      </c>
      <c r="AL288" s="6">
        <v>13</v>
      </c>
      <c r="AM288" s="6">
        <v>6</v>
      </c>
      <c r="AN288" s="1">
        <v>5</v>
      </c>
      <c r="AO288" s="1">
        <v>0</v>
      </c>
      <c r="AP288" s="1">
        <v>59</v>
      </c>
      <c r="AQ288" s="1">
        <v>41</v>
      </c>
      <c r="AR288" s="1" t="s">
        <v>574</v>
      </c>
      <c r="AS288" s="1" t="s">
        <v>564</v>
      </c>
      <c r="AT288" s="1" t="s">
        <v>554</v>
      </c>
      <c r="AU288" s="1" t="s">
        <v>84</v>
      </c>
      <c r="AV288" s="1" t="s">
        <v>85</v>
      </c>
      <c r="AW288" s="1" t="s">
        <v>557</v>
      </c>
      <c r="AX288" s="1"/>
    </row>
    <row r="289" spans="1:50" ht="15" customHeight="1">
      <c r="A289" s="1">
        <v>2022</v>
      </c>
      <c r="B289" s="1" t="s">
        <v>552</v>
      </c>
      <c r="C289" s="1" t="s">
        <v>602</v>
      </c>
      <c r="D289" s="1" t="s">
        <v>72</v>
      </c>
      <c r="E289" s="1" t="s">
        <v>170</v>
      </c>
      <c r="F289" s="4">
        <v>44893</v>
      </c>
      <c r="G289" s="1" t="s">
        <v>377</v>
      </c>
      <c r="H289" s="1" t="s">
        <v>135</v>
      </c>
      <c r="I289" s="1" t="s">
        <v>254</v>
      </c>
      <c r="J289" s="5">
        <v>2</v>
      </c>
      <c r="K289" s="5">
        <v>0</v>
      </c>
      <c r="L289" s="1" t="s">
        <v>152</v>
      </c>
      <c r="M289" s="1" t="s">
        <v>78</v>
      </c>
      <c r="N289" s="1" t="s">
        <v>135</v>
      </c>
      <c r="O289" s="1" t="s">
        <v>135</v>
      </c>
      <c r="P289" s="1" t="s">
        <v>31</v>
      </c>
      <c r="Q289" s="2" t="b">
        <v>0</v>
      </c>
      <c r="R289" s="2" t="b">
        <v>0</v>
      </c>
      <c r="S289" s="1" t="s">
        <v>79</v>
      </c>
      <c r="T289" s="5">
        <v>6</v>
      </c>
      <c r="U289" s="5">
        <v>2</v>
      </c>
      <c r="V289" s="5">
        <v>8</v>
      </c>
      <c r="W289" s="1" t="s">
        <v>81</v>
      </c>
      <c r="X289" s="5">
        <v>3</v>
      </c>
      <c r="Y289" s="5">
        <v>2</v>
      </c>
      <c r="Z289" s="5">
        <v>5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5</v>
      </c>
      <c r="AK289" s="1" t="s">
        <v>81</v>
      </c>
      <c r="AL289" s="6">
        <v>15</v>
      </c>
      <c r="AM289" s="6">
        <v>11</v>
      </c>
      <c r="AN289" s="1">
        <v>3</v>
      </c>
      <c r="AO289" s="1">
        <v>3</v>
      </c>
      <c r="AP289" s="1">
        <v>60</v>
      </c>
      <c r="AQ289" s="1">
        <v>40</v>
      </c>
      <c r="AR289" s="1" t="s">
        <v>569</v>
      </c>
      <c r="AS289" s="1" t="s">
        <v>570</v>
      </c>
      <c r="AT289" s="1" t="s">
        <v>554</v>
      </c>
      <c r="AU289" s="1" t="s">
        <v>84</v>
      </c>
      <c r="AV289" s="1" t="s">
        <v>85</v>
      </c>
      <c r="AW289" s="1" t="s">
        <v>557</v>
      </c>
      <c r="AX289" s="1"/>
    </row>
    <row r="290" spans="1:50" ht="15" customHeight="1">
      <c r="A290" s="1">
        <v>2022</v>
      </c>
      <c r="B290" s="1" t="s">
        <v>552</v>
      </c>
      <c r="C290" s="1" t="s">
        <v>603</v>
      </c>
      <c r="D290" s="1" t="s">
        <v>72</v>
      </c>
      <c r="E290" s="1" t="s">
        <v>73</v>
      </c>
      <c r="F290" s="4">
        <v>44894</v>
      </c>
      <c r="G290" s="1" t="s">
        <v>74</v>
      </c>
      <c r="H290" s="1" t="s">
        <v>91</v>
      </c>
      <c r="I290" s="1" t="s">
        <v>500</v>
      </c>
      <c r="J290" s="5">
        <v>1</v>
      </c>
      <c r="K290" s="5">
        <v>2</v>
      </c>
      <c r="L290" s="1" t="s">
        <v>200</v>
      </c>
      <c r="M290" s="1" t="s">
        <v>93</v>
      </c>
      <c r="N290" s="1" t="s">
        <v>500</v>
      </c>
      <c r="O290" s="1" t="s">
        <v>500</v>
      </c>
      <c r="P290" s="1" t="s">
        <v>31</v>
      </c>
      <c r="Q290" s="2" t="b">
        <v>0</v>
      </c>
      <c r="R290" s="2" t="b">
        <v>0</v>
      </c>
      <c r="S290" s="1" t="s">
        <v>79</v>
      </c>
      <c r="T290" s="5">
        <v>3</v>
      </c>
      <c r="U290" s="5">
        <v>6</v>
      </c>
      <c r="V290" s="5">
        <v>9</v>
      </c>
      <c r="W290" s="1" t="s">
        <v>81</v>
      </c>
      <c r="X290" s="5">
        <v>0</v>
      </c>
      <c r="Y290" s="5">
        <v>1</v>
      </c>
      <c r="Z290" s="5">
        <v>1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1</v>
      </c>
      <c r="AK290" s="1" t="s">
        <v>81</v>
      </c>
      <c r="AL290" s="6">
        <v>9</v>
      </c>
      <c r="AM290" s="6">
        <v>14</v>
      </c>
      <c r="AN290" s="1">
        <v>4</v>
      </c>
      <c r="AO290" s="1">
        <v>3</v>
      </c>
      <c r="AP290" s="1">
        <v>55</v>
      </c>
      <c r="AQ290" s="1">
        <v>45</v>
      </c>
      <c r="AR290" s="1" t="s">
        <v>560</v>
      </c>
      <c r="AS290" s="1" t="s">
        <v>561</v>
      </c>
      <c r="AT290" s="1" t="s">
        <v>554</v>
      </c>
      <c r="AU290" s="1" t="s">
        <v>84</v>
      </c>
      <c r="AV290" s="1" t="s">
        <v>85</v>
      </c>
      <c r="AW290" s="1" t="s">
        <v>557</v>
      </c>
      <c r="AX290" s="1"/>
    </row>
    <row r="291" spans="1:50" ht="15" customHeight="1">
      <c r="A291" s="1">
        <v>2022</v>
      </c>
      <c r="B291" s="1" t="s">
        <v>552</v>
      </c>
      <c r="C291" s="1" t="s">
        <v>604</v>
      </c>
      <c r="D291" s="1" t="s">
        <v>72</v>
      </c>
      <c r="E291" s="1" t="s">
        <v>73</v>
      </c>
      <c r="F291" s="4">
        <v>44894</v>
      </c>
      <c r="G291" s="1" t="s">
        <v>74</v>
      </c>
      <c r="H291" s="1" t="s">
        <v>122</v>
      </c>
      <c r="I291" s="1" t="s">
        <v>554</v>
      </c>
      <c r="J291" s="5">
        <v>2</v>
      </c>
      <c r="K291" s="5">
        <v>0</v>
      </c>
      <c r="L291" s="1" t="s">
        <v>152</v>
      </c>
      <c r="M291" s="1" t="s">
        <v>78</v>
      </c>
      <c r="N291" s="1" t="s">
        <v>122</v>
      </c>
      <c r="O291" s="1" t="s">
        <v>122</v>
      </c>
      <c r="P291" s="1" t="s">
        <v>31</v>
      </c>
      <c r="Q291" s="2" t="b">
        <v>0</v>
      </c>
      <c r="R291" s="2" t="b">
        <v>0</v>
      </c>
      <c r="S291" s="1" t="s">
        <v>79</v>
      </c>
      <c r="T291" s="5">
        <v>4</v>
      </c>
      <c r="U291" s="5">
        <v>2</v>
      </c>
      <c r="V291" s="5">
        <v>6</v>
      </c>
      <c r="W291" s="1" t="s">
        <v>81</v>
      </c>
      <c r="X291" s="5">
        <v>1</v>
      </c>
      <c r="Y291" s="5">
        <v>0</v>
      </c>
      <c r="Z291" s="5">
        <v>1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1</v>
      </c>
      <c r="AK291" s="1" t="s">
        <v>81</v>
      </c>
      <c r="AL291" s="6">
        <v>13</v>
      </c>
      <c r="AM291" s="6">
        <v>5</v>
      </c>
      <c r="AN291" s="1">
        <v>4</v>
      </c>
      <c r="AO291" s="1">
        <v>3</v>
      </c>
      <c r="AP291" s="1">
        <v>61</v>
      </c>
      <c r="AQ291" s="1">
        <v>39</v>
      </c>
      <c r="AR291" s="1" t="s">
        <v>555</v>
      </c>
      <c r="AS291" s="1" t="s">
        <v>556</v>
      </c>
      <c r="AT291" s="1" t="s">
        <v>554</v>
      </c>
      <c r="AU291" s="1" t="s">
        <v>84</v>
      </c>
      <c r="AV291" s="1" t="s">
        <v>85</v>
      </c>
      <c r="AW291" s="1" t="s">
        <v>557</v>
      </c>
      <c r="AX291" s="1"/>
    </row>
    <row r="292" spans="1:50" ht="15" customHeight="1">
      <c r="A292" s="1">
        <v>2022</v>
      </c>
      <c r="B292" s="1" t="s">
        <v>552</v>
      </c>
      <c r="C292" s="1" t="s">
        <v>605</v>
      </c>
      <c r="D292" s="1" t="s">
        <v>72</v>
      </c>
      <c r="E292" s="1" t="s">
        <v>97</v>
      </c>
      <c r="F292" s="4">
        <v>44894</v>
      </c>
      <c r="G292" s="1" t="s">
        <v>377</v>
      </c>
      <c r="H292" s="1" t="s">
        <v>129</v>
      </c>
      <c r="I292" s="1" t="s">
        <v>146</v>
      </c>
      <c r="J292" s="5">
        <v>0</v>
      </c>
      <c r="K292" s="5">
        <v>1</v>
      </c>
      <c r="L292" s="1" t="s">
        <v>123</v>
      </c>
      <c r="M292" s="1" t="s">
        <v>93</v>
      </c>
      <c r="N292" s="1" t="s">
        <v>146</v>
      </c>
      <c r="O292" s="1" t="s">
        <v>146</v>
      </c>
      <c r="P292" s="1" t="s">
        <v>31</v>
      </c>
      <c r="Q292" s="2" t="b">
        <v>0</v>
      </c>
      <c r="R292" s="2" t="b">
        <v>0</v>
      </c>
      <c r="S292" s="1" t="s">
        <v>79</v>
      </c>
      <c r="T292" s="5">
        <v>1</v>
      </c>
      <c r="U292" s="5">
        <v>5</v>
      </c>
      <c r="V292" s="5">
        <v>6</v>
      </c>
      <c r="W292" s="1" t="s">
        <v>81</v>
      </c>
      <c r="X292" s="5">
        <v>3</v>
      </c>
      <c r="Y292" s="5">
        <v>1</v>
      </c>
      <c r="Z292" s="5">
        <v>4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4</v>
      </c>
      <c r="AK292" s="1" t="s">
        <v>81</v>
      </c>
      <c r="AL292" s="6">
        <v>4</v>
      </c>
      <c r="AM292" s="6">
        <v>12</v>
      </c>
      <c r="AN292" s="1">
        <v>1</v>
      </c>
      <c r="AO292" s="1">
        <v>5</v>
      </c>
      <c r="AP292" s="1">
        <v>49</v>
      </c>
      <c r="AQ292" s="1">
        <v>51</v>
      </c>
      <c r="AR292" s="1" t="s">
        <v>563</v>
      </c>
      <c r="AS292" s="1" t="s">
        <v>564</v>
      </c>
      <c r="AT292" s="1" t="s">
        <v>554</v>
      </c>
      <c r="AU292" s="1" t="s">
        <v>84</v>
      </c>
      <c r="AV292" s="1" t="s">
        <v>85</v>
      </c>
      <c r="AW292" s="1" t="s">
        <v>557</v>
      </c>
      <c r="AX292" s="1"/>
    </row>
    <row r="293" spans="1:50" ht="15" customHeight="1">
      <c r="A293" s="1">
        <v>2022</v>
      </c>
      <c r="B293" s="1" t="s">
        <v>552</v>
      </c>
      <c r="C293" s="1" t="s">
        <v>606</v>
      </c>
      <c r="D293" s="1" t="s">
        <v>72</v>
      </c>
      <c r="E293" s="1" t="s">
        <v>97</v>
      </c>
      <c r="F293" s="4">
        <v>44894</v>
      </c>
      <c r="G293" s="1" t="s">
        <v>377</v>
      </c>
      <c r="H293" s="1" t="s">
        <v>566</v>
      </c>
      <c r="I293" s="1" t="s">
        <v>99</v>
      </c>
      <c r="J293" s="5">
        <v>0</v>
      </c>
      <c r="K293" s="5">
        <v>3</v>
      </c>
      <c r="L293" s="1" t="s">
        <v>148</v>
      </c>
      <c r="M293" s="1" t="s">
        <v>93</v>
      </c>
      <c r="N293" s="1" t="s">
        <v>99</v>
      </c>
      <c r="O293" s="1" t="s">
        <v>99</v>
      </c>
      <c r="P293" s="1" t="s">
        <v>31</v>
      </c>
      <c r="Q293" s="2" t="b">
        <v>0</v>
      </c>
      <c r="R293" s="2" t="b">
        <v>0</v>
      </c>
      <c r="S293" s="1" t="s">
        <v>79</v>
      </c>
      <c r="T293" s="5">
        <v>1</v>
      </c>
      <c r="U293" s="5">
        <v>6</v>
      </c>
      <c r="V293" s="5">
        <v>7</v>
      </c>
      <c r="W293" s="1" t="s">
        <v>81</v>
      </c>
      <c r="X293" s="5">
        <v>2</v>
      </c>
      <c r="Y293" s="5">
        <v>0</v>
      </c>
      <c r="Z293" s="5">
        <v>2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2</v>
      </c>
      <c r="AK293" s="1" t="s">
        <v>81</v>
      </c>
      <c r="AL293" s="6">
        <v>7</v>
      </c>
      <c r="AM293" s="6">
        <v>18</v>
      </c>
      <c r="AN293" s="1">
        <v>1</v>
      </c>
      <c r="AO293" s="1">
        <v>7</v>
      </c>
      <c r="AP293" s="1">
        <v>35</v>
      </c>
      <c r="AQ293" s="1">
        <v>65</v>
      </c>
      <c r="AR293" s="1" t="s">
        <v>567</v>
      </c>
      <c r="AS293" s="1" t="s">
        <v>561</v>
      </c>
      <c r="AT293" s="1" t="s">
        <v>554</v>
      </c>
      <c r="AU293" s="1" t="s">
        <v>84</v>
      </c>
      <c r="AV293" s="1" t="s">
        <v>85</v>
      </c>
      <c r="AW293" s="1" t="s">
        <v>557</v>
      </c>
      <c r="AX293" s="1"/>
    </row>
    <row r="294" spans="1:50" ht="15" customHeight="1">
      <c r="A294" s="1">
        <v>2022</v>
      </c>
      <c r="B294" s="1" t="s">
        <v>552</v>
      </c>
      <c r="C294" s="1" t="s">
        <v>607</v>
      </c>
      <c r="D294" s="1" t="s">
        <v>72</v>
      </c>
      <c r="E294" s="1" t="s">
        <v>127</v>
      </c>
      <c r="F294" s="4">
        <v>44895</v>
      </c>
      <c r="G294" s="1" t="s">
        <v>74</v>
      </c>
      <c r="H294" s="1" t="s">
        <v>140</v>
      </c>
      <c r="I294" s="1" t="s">
        <v>281</v>
      </c>
      <c r="J294" s="5">
        <v>1</v>
      </c>
      <c r="K294" s="5">
        <v>0</v>
      </c>
      <c r="L294" s="1" t="s">
        <v>101</v>
      </c>
      <c r="M294" s="1" t="s">
        <v>78</v>
      </c>
      <c r="N294" s="1" t="s">
        <v>140</v>
      </c>
      <c r="O294" s="1" t="s">
        <v>140</v>
      </c>
      <c r="P294" s="1" t="s">
        <v>31</v>
      </c>
      <c r="Q294" s="2" t="b">
        <v>0</v>
      </c>
      <c r="R294" s="2" t="b">
        <v>0</v>
      </c>
      <c r="S294" s="1" t="s">
        <v>79</v>
      </c>
      <c r="T294" s="5">
        <v>2</v>
      </c>
      <c r="U294" s="5">
        <v>6</v>
      </c>
      <c r="V294" s="5">
        <v>8</v>
      </c>
      <c r="W294" s="1" t="s">
        <v>81</v>
      </c>
      <c r="X294" s="5">
        <v>2</v>
      </c>
      <c r="Y294" s="5">
        <v>1</v>
      </c>
      <c r="Z294" s="5">
        <v>3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3</v>
      </c>
      <c r="AK294" s="1" t="s">
        <v>81</v>
      </c>
      <c r="AL294" s="6">
        <v>8</v>
      </c>
      <c r="AM294" s="6">
        <v>13</v>
      </c>
      <c r="AN294" s="1">
        <v>4</v>
      </c>
      <c r="AO294" s="1">
        <v>3</v>
      </c>
      <c r="AP294" s="1">
        <v>34</v>
      </c>
      <c r="AQ294" s="1">
        <v>66</v>
      </c>
      <c r="AR294" s="1" t="s">
        <v>576</v>
      </c>
      <c r="AS294" s="1" t="s">
        <v>577</v>
      </c>
      <c r="AT294" s="1" t="s">
        <v>554</v>
      </c>
      <c r="AU294" s="1" t="s">
        <v>84</v>
      </c>
      <c r="AV294" s="1" t="s">
        <v>85</v>
      </c>
      <c r="AW294" s="1" t="s">
        <v>557</v>
      </c>
      <c r="AX294" s="1"/>
    </row>
    <row r="295" spans="1:50" ht="15" customHeight="1">
      <c r="A295" s="1">
        <v>2022</v>
      </c>
      <c r="B295" s="1" t="s">
        <v>552</v>
      </c>
      <c r="C295" s="1" t="s">
        <v>608</v>
      </c>
      <c r="D295" s="1" t="s">
        <v>72</v>
      </c>
      <c r="E295" s="1" t="s">
        <v>127</v>
      </c>
      <c r="F295" s="4">
        <v>44895</v>
      </c>
      <c r="G295" s="1" t="s">
        <v>74</v>
      </c>
      <c r="H295" s="1" t="s">
        <v>175</v>
      </c>
      <c r="I295" s="1" t="s">
        <v>160</v>
      </c>
      <c r="J295" s="5">
        <v>1</v>
      </c>
      <c r="K295" s="5">
        <v>0</v>
      </c>
      <c r="L295" s="1" t="s">
        <v>101</v>
      </c>
      <c r="M295" s="1" t="s">
        <v>78</v>
      </c>
      <c r="N295" s="1" t="s">
        <v>175</v>
      </c>
      <c r="O295" s="1" t="s">
        <v>175</v>
      </c>
      <c r="P295" s="1" t="s">
        <v>31</v>
      </c>
      <c r="Q295" s="2" t="b">
        <v>0</v>
      </c>
      <c r="R295" s="2" t="b">
        <v>0</v>
      </c>
      <c r="S295" s="1" t="s">
        <v>79</v>
      </c>
      <c r="T295" s="5">
        <v>7</v>
      </c>
      <c r="U295" s="5">
        <v>8</v>
      </c>
      <c r="V295" s="5">
        <v>15</v>
      </c>
      <c r="W295" s="1" t="s">
        <v>81</v>
      </c>
      <c r="X295" s="5">
        <v>1</v>
      </c>
      <c r="Y295" s="5">
        <v>0</v>
      </c>
      <c r="Z295" s="5">
        <v>1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1</v>
      </c>
      <c r="AK295" s="1" t="s">
        <v>81</v>
      </c>
      <c r="AL295" s="6">
        <v>5</v>
      </c>
      <c r="AM295" s="6">
        <v>10</v>
      </c>
      <c r="AN295" s="1">
        <v>3</v>
      </c>
      <c r="AO295" s="1">
        <v>3</v>
      </c>
      <c r="AP295" s="1">
        <v>34</v>
      </c>
      <c r="AQ295" s="1">
        <v>66</v>
      </c>
      <c r="AR295" s="1" t="s">
        <v>572</v>
      </c>
      <c r="AS295" s="1" t="s">
        <v>561</v>
      </c>
      <c r="AT295" s="1" t="s">
        <v>554</v>
      </c>
      <c r="AU295" s="1" t="s">
        <v>84</v>
      </c>
      <c r="AV295" s="1" t="s">
        <v>85</v>
      </c>
      <c r="AW295" s="1" t="s">
        <v>557</v>
      </c>
      <c r="AX295" s="1"/>
    </row>
    <row r="296" spans="1:50" ht="15" customHeight="1">
      <c r="A296" s="1">
        <v>2022</v>
      </c>
      <c r="B296" s="1" t="s">
        <v>552</v>
      </c>
      <c r="C296" s="1" t="s">
        <v>609</v>
      </c>
      <c r="D296" s="1" t="s">
        <v>72</v>
      </c>
      <c r="E296" s="1" t="s">
        <v>114</v>
      </c>
      <c r="F296" s="4">
        <v>44895</v>
      </c>
      <c r="G296" s="1" t="s">
        <v>377</v>
      </c>
      <c r="H296" s="1" t="s">
        <v>90</v>
      </c>
      <c r="I296" s="1" t="s">
        <v>115</v>
      </c>
      <c r="J296" s="5">
        <v>0</v>
      </c>
      <c r="K296" s="5">
        <v>2</v>
      </c>
      <c r="L296" s="1" t="s">
        <v>92</v>
      </c>
      <c r="M296" s="1" t="s">
        <v>93</v>
      </c>
      <c r="N296" s="1" t="s">
        <v>115</v>
      </c>
      <c r="O296" s="1" t="s">
        <v>115</v>
      </c>
      <c r="P296" s="1" t="s">
        <v>31</v>
      </c>
      <c r="Q296" s="2" t="b">
        <v>0</v>
      </c>
      <c r="R296" s="2" t="b">
        <v>0</v>
      </c>
      <c r="S296" s="1" t="s">
        <v>79</v>
      </c>
      <c r="T296" s="5">
        <v>1</v>
      </c>
      <c r="U296" s="5">
        <v>9</v>
      </c>
      <c r="V296" s="5">
        <v>10</v>
      </c>
      <c r="W296" s="1" t="s">
        <v>81</v>
      </c>
      <c r="X296" s="5">
        <v>1</v>
      </c>
      <c r="Y296" s="5">
        <v>1</v>
      </c>
      <c r="Z296" s="5">
        <v>2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2</v>
      </c>
      <c r="AK296" s="1" t="s">
        <v>81</v>
      </c>
      <c r="AL296" s="6">
        <v>4</v>
      </c>
      <c r="AM296" s="6">
        <v>23</v>
      </c>
      <c r="AN296" s="1">
        <v>0</v>
      </c>
      <c r="AO296" s="1">
        <v>12</v>
      </c>
      <c r="AP296" s="1">
        <v>27</v>
      </c>
      <c r="AQ296" s="1">
        <v>73</v>
      </c>
      <c r="AR296" s="1" t="s">
        <v>574</v>
      </c>
      <c r="AS296" s="1" t="s">
        <v>564</v>
      </c>
      <c r="AT296" s="1" t="s">
        <v>554</v>
      </c>
      <c r="AU296" s="1" t="s">
        <v>84</v>
      </c>
      <c r="AV296" s="1" t="s">
        <v>85</v>
      </c>
      <c r="AW296" s="1" t="s">
        <v>557</v>
      </c>
      <c r="AX296" s="1"/>
    </row>
    <row r="297" spans="1:50" ht="15" customHeight="1">
      <c r="A297" s="1">
        <v>2022</v>
      </c>
      <c r="B297" s="1" t="s">
        <v>552</v>
      </c>
      <c r="C297" s="1" t="s">
        <v>610</v>
      </c>
      <c r="D297" s="1" t="s">
        <v>72</v>
      </c>
      <c r="E297" s="1" t="s">
        <v>114</v>
      </c>
      <c r="F297" s="4">
        <v>44895</v>
      </c>
      <c r="G297" s="1" t="s">
        <v>377</v>
      </c>
      <c r="H297" s="1" t="s">
        <v>176</v>
      </c>
      <c r="I297" s="1" t="s">
        <v>128</v>
      </c>
      <c r="J297" s="5">
        <v>1</v>
      </c>
      <c r="K297" s="5">
        <v>2</v>
      </c>
      <c r="L297" s="1" t="s">
        <v>200</v>
      </c>
      <c r="M297" s="1" t="s">
        <v>93</v>
      </c>
      <c r="N297" s="1" t="s">
        <v>128</v>
      </c>
      <c r="O297" s="1" t="s">
        <v>128</v>
      </c>
      <c r="P297" s="1" t="s">
        <v>31</v>
      </c>
      <c r="Q297" s="2" t="b">
        <v>0</v>
      </c>
      <c r="R297" s="2" t="b">
        <v>0</v>
      </c>
      <c r="S297" s="1" t="s">
        <v>79</v>
      </c>
      <c r="T297" s="5">
        <v>1</v>
      </c>
      <c r="U297" s="5">
        <v>8</v>
      </c>
      <c r="V297" s="5">
        <v>9</v>
      </c>
      <c r="W297" s="1" t="s">
        <v>81</v>
      </c>
      <c r="X297" s="5">
        <v>6</v>
      </c>
      <c r="Y297" s="5">
        <v>1</v>
      </c>
      <c r="Z297" s="5">
        <v>7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7</v>
      </c>
      <c r="AK297" s="1" t="s">
        <v>81</v>
      </c>
      <c r="AL297" s="6">
        <v>10</v>
      </c>
      <c r="AM297" s="6">
        <v>26</v>
      </c>
      <c r="AN297" s="1">
        <v>2</v>
      </c>
      <c r="AO297" s="1">
        <v>11</v>
      </c>
      <c r="AP297" s="1">
        <v>39</v>
      </c>
      <c r="AQ297" s="1">
        <v>61</v>
      </c>
      <c r="AR297" s="1" t="s">
        <v>569</v>
      </c>
      <c r="AS297" s="1" t="s">
        <v>570</v>
      </c>
      <c r="AT297" s="1" t="s">
        <v>554</v>
      </c>
      <c r="AU297" s="1" t="s">
        <v>84</v>
      </c>
      <c r="AV297" s="1" t="s">
        <v>85</v>
      </c>
      <c r="AW297" s="1" t="s">
        <v>557</v>
      </c>
      <c r="AX297" s="1"/>
    </row>
    <row r="298" spans="1:50" ht="15" customHeight="1">
      <c r="A298" s="1">
        <v>2022</v>
      </c>
      <c r="B298" s="1" t="s">
        <v>552</v>
      </c>
      <c r="C298" s="1" t="s">
        <v>611</v>
      </c>
      <c r="D298" s="1" t="s">
        <v>72</v>
      </c>
      <c r="E298" s="1" t="s">
        <v>139</v>
      </c>
      <c r="F298" s="4">
        <v>44896</v>
      </c>
      <c r="G298" s="1" t="s">
        <v>74</v>
      </c>
      <c r="H298" s="1" t="s">
        <v>582</v>
      </c>
      <c r="I298" s="1" t="s">
        <v>463</v>
      </c>
      <c r="J298" s="5">
        <v>1</v>
      </c>
      <c r="K298" s="5">
        <v>2</v>
      </c>
      <c r="L298" s="1" t="s">
        <v>200</v>
      </c>
      <c r="M298" s="1" t="s">
        <v>93</v>
      </c>
      <c r="N298" s="1" t="s">
        <v>463</v>
      </c>
      <c r="O298" s="1" t="s">
        <v>463</v>
      </c>
      <c r="P298" s="1" t="s">
        <v>31</v>
      </c>
      <c r="Q298" s="2" t="b">
        <v>0</v>
      </c>
      <c r="R298" s="2" t="b">
        <v>0</v>
      </c>
      <c r="S298" s="1" t="s">
        <v>79</v>
      </c>
      <c r="T298" s="5">
        <v>6</v>
      </c>
      <c r="U298" s="5">
        <v>2</v>
      </c>
      <c r="V298" s="5">
        <v>8</v>
      </c>
      <c r="W298" s="1" t="s">
        <v>81</v>
      </c>
      <c r="X298" s="5">
        <v>4</v>
      </c>
      <c r="Y298" s="5">
        <v>0</v>
      </c>
      <c r="Z298" s="5">
        <v>4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4</v>
      </c>
      <c r="AK298" s="1" t="s">
        <v>81</v>
      </c>
      <c r="AL298" s="6">
        <v>5</v>
      </c>
      <c r="AM298" s="6">
        <v>6</v>
      </c>
      <c r="AN298" s="1">
        <v>0</v>
      </c>
      <c r="AO298" s="1">
        <v>2</v>
      </c>
      <c r="AP298" s="1">
        <v>57</v>
      </c>
      <c r="AQ298" s="1">
        <v>43</v>
      </c>
      <c r="AR298" s="1" t="s">
        <v>563</v>
      </c>
      <c r="AS298" s="1" t="s">
        <v>564</v>
      </c>
      <c r="AT298" s="1" t="s">
        <v>554</v>
      </c>
      <c r="AU298" s="1" t="s">
        <v>84</v>
      </c>
      <c r="AV298" s="1" t="s">
        <v>85</v>
      </c>
      <c r="AW298" s="1" t="s">
        <v>557</v>
      </c>
      <c r="AX298" s="1"/>
    </row>
    <row r="299" spans="1:50" ht="15" customHeight="1">
      <c r="A299" s="1">
        <v>2022</v>
      </c>
      <c r="B299" s="1" t="s">
        <v>552</v>
      </c>
      <c r="C299" s="1" t="s">
        <v>612</v>
      </c>
      <c r="D299" s="1" t="s">
        <v>72</v>
      </c>
      <c r="E299" s="1" t="s">
        <v>139</v>
      </c>
      <c r="F299" s="4">
        <v>44896</v>
      </c>
      <c r="G299" s="1" t="s">
        <v>74</v>
      </c>
      <c r="H299" s="1" t="s">
        <v>166</v>
      </c>
      <c r="I299" s="1" t="s">
        <v>397</v>
      </c>
      <c r="J299" s="5">
        <v>0</v>
      </c>
      <c r="K299" s="5">
        <v>0</v>
      </c>
      <c r="L299" s="1" t="s">
        <v>107</v>
      </c>
      <c r="M299" s="1" t="s">
        <v>108</v>
      </c>
      <c r="N299" s="1" t="s">
        <v>109</v>
      </c>
      <c r="O299" s="1"/>
      <c r="P299" s="1" t="s">
        <v>110</v>
      </c>
      <c r="Q299" s="2" t="b">
        <v>0</v>
      </c>
      <c r="R299" s="2" t="b">
        <v>0</v>
      </c>
      <c r="S299" s="1" t="s">
        <v>79</v>
      </c>
      <c r="T299" s="5">
        <v>2</v>
      </c>
      <c r="U299" s="5">
        <v>4</v>
      </c>
      <c r="V299" s="5">
        <v>6</v>
      </c>
      <c r="W299" s="1" t="s">
        <v>81</v>
      </c>
      <c r="X299" s="5">
        <v>0</v>
      </c>
      <c r="Y299" s="5">
        <v>1</v>
      </c>
      <c r="Z299" s="5">
        <v>1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1</v>
      </c>
      <c r="AK299" s="1" t="s">
        <v>81</v>
      </c>
      <c r="AL299" s="6">
        <v>11</v>
      </c>
      <c r="AM299" s="6">
        <v>16</v>
      </c>
      <c r="AN299" s="1">
        <v>4</v>
      </c>
      <c r="AO299" s="1">
        <v>3</v>
      </c>
      <c r="AP299" s="1">
        <v>48</v>
      </c>
      <c r="AQ299" s="1">
        <v>52</v>
      </c>
      <c r="AR299" s="1" t="s">
        <v>567</v>
      </c>
      <c r="AS299" s="1" t="s">
        <v>561</v>
      </c>
      <c r="AT299" s="1" t="s">
        <v>554</v>
      </c>
      <c r="AU299" s="1" t="s">
        <v>84</v>
      </c>
      <c r="AV299" s="1" t="s">
        <v>85</v>
      </c>
      <c r="AW299" s="1" t="s">
        <v>557</v>
      </c>
      <c r="AX299" s="1"/>
    </row>
    <row r="300" spans="1:50" ht="15" customHeight="1">
      <c r="A300" s="1">
        <v>2022</v>
      </c>
      <c r="B300" s="1" t="s">
        <v>552</v>
      </c>
      <c r="C300" s="1" t="s">
        <v>613</v>
      </c>
      <c r="D300" s="1" t="s">
        <v>72</v>
      </c>
      <c r="E300" s="1" t="s">
        <v>145</v>
      </c>
      <c r="F300" s="4">
        <v>44896</v>
      </c>
      <c r="G300" s="1" t="s">
        <v>377</v>
      </c>
      <c r="H300" s="1" t="s">
        <v>76</v>
      </c>
      <c r="I300" s="1" t="s">
        <v>75</v>
      </c>
      <c r="J300" s="5">
        <v>2</v>
      </c>
      <c r="K300" s="5">
        <v>4</v>
      </c>
      <c r="L300" s="1" t="s">
        <v>416</v>
      </c>
      <c r="M300" s="1" t="s">
        <v>93</v>
      </c>
      <c r="N300" s="1" t="s">
        <v>75</v>
      </c>
      <c r="O300" s="1" t="s">
        <v>75</v>
      </c>
      <c r="P300" s="1" t="s">
        <v>31</v>
      </c>
      <c r="Q300" s="2" t="b">
        <v>0</v>
      </c>
      <c r="R300" s="2" t="b">
        <v>0</v>
      </c>
      <c r="S300" s="1" t="s">
        <v>79</v>
      </c>
      <c r="T300" s="5">
        <v>1</v>
      </c>
      <c r="U300" s="5">
        <v>14</v>
      </c>
      <c r="V300" s="5">
        <v>15</v>
      </c>
      <c r="W300" s="1" t="s">
        <v>81</v>
      </c>
      <c r="X300" s="5">
        <v>1</v>
      </c>
      <c r="Y300" s="5">
        <v>0</v>
      </c>
      <c r="Z300" s="5">
        <v>1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1</v>
      </c>
      <c r="AK300" s="1" t="s">
        <v>81</v>
      </c>
      <c r="AL300" s="6">
        <v>8</v>
      </c>
      <c r="AM300" s="6">
        <v>32</v>
      </c>
      <c r="AN300" s="1">
        <v>6</v>
      </c>
      <c r="AO300" s="1">
        <v>11</v>
      </c>
      <c r="AP300" s="1">
        <v>32</v>
      </c>
      <c r="AQ300" s="1">
        <v>68</v>
      </c>
      <c r="AR300" s="1" t="s">
        <v>555</v>
      </c>
      <c r="AS300" s="1" t="s">
        <v>556</v>
      </c>
      <c r="AT300" s="1" t="s">
        <v>554</v>
      </c>
      <c r="AU300" s="1" t="s">
        <v>84</v>
      </c>
      <c r="AV300" s="1" t="s">
        <v>85</v>
      </c>
      <c r="AW300" s="1" t="s">
        <v>557</v>
      </c>
      <c r="AX300" s="1"/>
    </row>
    <row r="301" spans="1:50" ht="15" customHeight="1">
      <c r="A301" s="1">
        <v>2022</v>
      </c>
      <c r="B301" s="1" t="s">
        <v>552</v>
      </c>
      <c r="C301" s="1" t="s">
        <v>614</v>
      </c>
      <c r="D301" s="1" t="s">
        <v>72</v>
      </c>
      <c r="E301" s="1" t="s">
        <v>145</v>
      </c>
      <c r="F301" s="4">
        <v>44896</v>
      </c>
      <c r="G301" s="1" t="s">
        <v>377</v>
      </c>
      <c r="H301" s="1" t="s">
        <v>141</v>
      </c>
      <c r="I301" s="1" t="s">
        <v>171</v>
      </c>
      <c r="J301" s="5">
        <v>2</v>
      </c>
      <c r="K301" s="5">
        <v>1</v>
      </c>
      <c r="L301" s="1" t="s">
        <v>117</v>
      </c>
      <c r="M301" s="1" t="s">
        <v>78</v>
      </c>
      <c r="N301" s="1" t="s">
        <v>141</v>
      </c>
      <c r="O301" s="1" t="s">
        <v>141</v>
      </c>
      <c r="P301" s="1" t="s">
        <v>31</v>
      </c>
      <c r="Q301" s="2" t="b">
        <v>0</v>
      </c>
      <c r="R301" s="2" t="b">
        <v>0</v>
      </c>
      <c r="S301" s="1" t="s">
        <v>79</v>
      </c>
      <c r="T301" s="5">
        <v>0</v>
      </c>
      <c r="U301" s="5">
        <v>2</v>
      </c>
      <c r="V301" s="5">
        <v>2</v>
      </c>
      <c r="W301" s="1" t="s">
        <v>81</v>
      </c>
      <c r="X301" s="5">
        <v>3</v>
      </c>
      <c r="Y301" s="5">
        <v>0</v>
      </c>
      <c r="Z301" s="5">
        <v>3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3</v>
      </c>
      <c r="AK301" s="1" t="s">
        <v>81</v>
      </c>
      <c r="AL301" s="6">
        <v>6</v>
      </c>
      <c r="AM301" s="6">
        <v>12</v>
      </c>
      <c r="AN301" s="1">
        <v>3</v>
      </c>
      <c r="AO301" s="1">
        <v>5</v>
      </c>
      <c r="AP301" s="1">
        <v>18</v>
      </c>
      <c r="AQ301" s="1">
        <v>82</v>
      </c>
      <c r="AR301" s="1" t="s">
        <v>560</v>
      </c>
      <c r="AS301" s="1" t="s">
        <v>561</v>
      </c>
      <c r="AT301" s="1" t="s">
        <v>554</v>
      </c>
      <c r="AU301" s="1" t="s">
        <v>84</v>
      </c>
      <c r="AV301" s="1" t="s">
        <v>85</v>
      </c>
      <c r="AW301" s="1" t="s">
        <v>557</v>
      </c>
      <c r="AX301" s="1"/>
    </row>
    <row r="302" spans="1:50" ht="15" customHeight="1">
      <c r="A302" s="1">
        <v>2022</v>
      </c>
      <c r="B302" s="1" t="s">
        <v>552</v>
      </c>
      <c r="C302" s="1" t="s">
        <v>615</v>
      </c>
      <c r="D302" s="1" t="s">
        <v>72</v>
      </c>
      <c r="E302" s="1" t="s">
        <v>170</v>
      </c>
      <c r="F302" s="4">
        <v>44897</v>
      </c>
      <c r="G302" s="1" t="s">
        <v>74</v>
      </c>
      <c r="H302" s="1" t="s">
        <v>151</v>
      </c>
      <c r="I302" s="1" t="s">
        <v>254</v>
      </c>
      <c r="J302" s="5">
        <v>0</v>
      </c>
      <c r="K302" s="5">
        <v>2</v>
      </c>
      <c r="L302" s="1" t="s">
        <v>92</v>
      </c>
      <c r="M302" s="1" t="s">
        <v>93</v>
      </c>
      <c r="N302" s="1" t="s">
        <v>254</v>
      </c>
      <c r="O302" s="1" t="s">
        <v>254</v>
      </c>
      <c r="P302" s="1" t="s">
        <v>31</v>
      </c>
      <c r="Q302" s="2" t="b">
        <v>0</v>
      </c>
      <c r="R302" s="2" t="b">
        <v>0</v>
      </c>
      <c r="S302" s="1" t="s">
        <v>79</v>
      </c>
      <c r="T302" s="5">
        <v>5</v>
      </c>
      <c r="U302" s="5">
        <v>2</v>
      </c>
      <c r="V302" s="5">
        <v>7</v>
      </c>
      <c r="W302" s="1" t="s">
        <v>81</v>
      </c>
      <c r="X302" s="5">
        <v>2</v>
      </c>
      <c r="Y302" s="5">
        <v>5</v>
      </c>
      <c r="Z302" s="5">
        <v>7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7</v>
      </c>
      <c r="AK302" s="1" t="s">
        <v>81</v>
      </c>
      <c r="AL302" s="6">
        <v>10</v>
      </c>
      <c r="AM302" s="6">
        <v>12</v>
      </c>
      <c r="AN302" s="1">
        <v>4</v>
      </c>
      <c r="AO302" s="1">
        <v>7</v>
      </c>
      <c r="AP302" s="1">
        <v>51</v>
      </c>
      <c r="AQ302" s="1">
        <v>49</v>
      </c>
      <c r="AR302" s="1" t="s">
        <v>576</v>
      </c>
      <c r="AS302" s="1" t="s">
        <v>577</v>
      </c>
      <c r="AT302" s="1" t="s">
        <v>554</v>
      </c>
      <c r="AU302" s="1" t="s">
        <v>84</v>
      </c>
      <c r="AV302" s="1" t="s">
        <v>85</v>
      </c>
      <c r="AW302" s="1" t="s">
        <v>557</v>
      </c>
      <c r="AX302" s="1"/>
    </row>
    <row r="303" spans="1:50" ht="15" customHeight="1">
      <c r="A303" s="1">
        <v>2022</v>
      </c>
      <c r="B303" s="1" t="s">
        <v>552</v>
      </c>
      <c r="C303" s="1" t="s">
        <v>616</v>
      </c>
      <c r="D303" s="1" t="s">
        <v>72</v>
      </c>
      <c r="E303" s="1" t="s">
        <v>170</v>
      </c>
      <c r="F303" s="4">
        <v>44897</v>
      </c>
      <c r="G303" s="1" t="s">
        <v>74</v>
      </c>
      <c r="H303" s="1" t="s">
        <v>157</v>
      </c>
      <c r="I303" s="1" t="s">
        <v>135</v>
      </c>
      <c r="J303" s="5">
        <v>2</v>
      </c>
      <c r="K303" s="5">
        <v>1</v>
      </c>
      <c r="L303" s="1" t="s">
        <v>117</v>
      </c>
      <c r="M303" s="1" t="s">
        <v>78</v>
      </c>
      <c r="N303" s="1" t="s">
        <v>157</v>
      </c>
      <c r="O303" s="1" t="s">
        <v>157</v>
      </c>
      <c r="P303" s="1" t="s">
        <v>31</v>
      </c>
      <c r="Q303" s="2" t="b">
        <v>0</v>
      </c>
      <c r="R303" s="2" t="b">
        <v>0</v>
      </c>
      <c r="S303" s="1" t="s">
        <v>79</v>
      </c>
      <c r="T303" s="5">
        <v>5</v>
      </c>
      <c r="U303" s="5">
        <v>4</v>
      </c>
      <c r="V303" s="5">
        <v>9</v>
      </c>
      <c r="W303" s="1" t="s">
        <v>81</v>
      </c>
      <c r="X303" s="5">
        <v>2</v>
      </c>
      <c r="Y303" s="5">
        <v>0</v>
      </c>
      <c r="Z303" s="5">
        <v>2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2</v>
      </c>
      <c r="AK303" s="1" t="s">
        <v>81</v>
      </c>
      <c r="AL303" s="6">
        <v>13</v>
      </c>
      <c r="AM303" s="6">
        <v>13</v>
      </c>
      <c r="AN303" s="1">
        <v>6</v>
      </c>
      <c r="AO303" s="1">
        <v>6</v>
      </c>
      <c r="AP303" s="1">
        <v>42</v>
      </c>
      <c r="AQ303" s="1">
        <v>58</v>
      </c>
      <c r="AR303" s="1" t="s">
        <v>572</v>
      </c>
      <c r="AS303" s="1" t="s">
        <v>561</v>
      </c>
      <c r="AT303" s="1" t="s">
        <v>554</v>
      </c>
      <c r="AU303" s="1" t="s">
        <v>84</v>
      </c>
      <c r="AV303" s="1" t="s">
        <v>85</v>
      </c>
      <c r="AW303" s="1" t="s">
        <v>557</v>
      </c>
      <c r="AX303" s="1"/>
    </row>
    <row r="304" spans="1:50" ht="15" customHeight="1">
      <c r="A304" s="1">
        <v>2022</v>
      </c>
      <c r="B304" s="1" t="s">
        <v>552</v>
      </c>
      <c r="C304" s="1" t="s">
        <v>617</v>
      </c>
      <c r="D304" s="1" t="s">
        <v>72</v>
      </c>
      <c r="E304" s="1" t="s">
        <v>156</v>
      </c>
      <c r="F304" s="4">
        <v>44897</v>
      </c>
      <c r="G304" s="1" t="s">
        <v>377</v>
      </c>
      <c r="H304" s="1" t="s">
        <v>283</v>
      </c>
      <c r="I304" s="1" t="s">
        <v>165</v>
      </c>
      <c r="J304" s="5">
        <v>1</v>
      </c>
      <c r="K304" s="5">
        <v>0</v>
      </c>
      <c r="L304" s="1" t="s">
        <v>101</v>
      </c>
      <c r="M304" s="1" t="s">
        <v>78</v>
      </c>
      <c r="N304" s="1" t="s">
        <v>283</v>
      </c>
      <c r="O304" s="1" t="s">
        <v>283</v>
      </c>
      <c r="P304" s="1" t="s">
        <v>31</v>
      </c>
      <c r="Q304" s="2" t="b">
        <v>0</v>
      </c>
      <c r="R304" s="2" t="b">
        <v>0</v>
      </c>
      <c r="S304" s="1" t="s">
        <v>79</v>
      </c>
      <c r="T304" s="5">
        <v>3</v>
      </c>
      <c r="U304" s="5">
        <v>11</v>
      </c>
      <c r="V304" s="5">
        <v>14</v>
      </c>
      <c r="W304" s="1" t="s">
        <v>81</v>
      </c>
      <c r="X304" s="5">
        <v>4</v>
      </c>
      <c r="Y304" s="5">
        <v>2</v>
      </c>
      <c r="Z304" s="5">
        <v>6</v>
      </c>
      <c r="AA304" s="5">
        <v>0</v>
      </c>
      <c r="AB304" s="5">
        <v>0</v>
      </c>
      <c r="AC304" s="5">
        <v>0</v>
      </c>
      <c r="AD304" s="5">
        <v>1</v>
      </c>
      <c r="AE304" s="5">
        <v>0</v>
      </c>
      <c r="AF304" s="5">
        <v>1</v>
      </c>
      <c r="AG304" s="5">
        <v>1</v>
      </c>
      <c r="AH304" s="5">
        <v>0</v>
      </c>
      <c r="AI304" s="5">
        <v>1</v>
      </c>
      <c r="AJ304" s="5">
        <v>7</v>
      </c>
      <c r="AK304" s="1" t="s">
        <v>81</v>
      </c>
      <c r="AL304" s="6">
        <v>7</v>
      </c>
      <c r="AM304" s="6">
        <v>21</v>
      </c>
      <c r="AN304" s="1">
        <v>3</v>
      </c>
      <c r="AO304" s="1">
        <v>7</v>
      </c>
      <c r="AP304" s="1">
        <v>35</v>
      </c>
      <c r="AQ304" s="1">
        <v>65</v>
      </c>
      <c r="AR304" s="1" t="s">
        <v>569</v>
      </c>
      <c r="AS304" s="1" t="s">
        <v>570</v>
      </c>
      <c r="AT304" s="1" t="s">
        <v>554</v>
      </c>
      <c r="AU304" s="1" t="s">
        <v>84</v>
      </c>
      <c r="AV304" s="1" t="s">
        <v>85</v>
      </c>
      <c r="AW304" s="1" t="s">
        <v>557</v>
      </c>
      <c r="AX304" s="1"/>
    </row>
    <row r="305" spans="1:50" ht="15" customHeight="1">
      <c r="A305" s="1">
        <v>2022</v>
      </c>
      <c r="B305" s="1" t="s">
        <v>552</v>
      </c>
      <c r="C305" s="1" t="s">
        <v>618</v>
      </c>
      <c r="D305" s="1" t="s">
        <v>72</v>
      </c>
      <c r="E305" s="1" t="s">
        <v>156</v>
      </c>
      <c r="F305" s="4">
        <v>44897</v>
      </c>
      <c r="G305" s="1" t="s">
        <v>377</v>
      </c>
      <c r="H305" s="1" t="s">
        <v>274</v>
      </c>
      <c r="I305" s="1" t="s">
        <v>161</v>
      </c>
      <c r="J305" s="5">
        <v>2</v>
      </c>
      <c r="K305" s="5">
        <v>3</v>
      </c>
      <c r="L305" s="1" t="s">
        <v>346</v>
      </c>
      <c r="M305" s="1" t="s">
        <v>93</v>
      </c>
      <c r="N305" s="1" t="s">
        <v>161</v>
      </c>
      <c r="O305" s="1" t="s">
        <v>161</v>
      </c>
      <c r="P305" s="1" t="s">
        <v>31</v>
      </c>
      <c r="Q305" s="2" t="b">
        <v>0</v>
      </c>
      <c r="R305" s="2" t="b">
        <v>0</v>
      </c>
      <c r="S305" s="1" t="s">
        <v>79</v>
      </c>
      <c r="T305" s="5">
        <v>2</v>
      </c>
      <c r="U305" s="5">
        <v>0</v>
      </c>
      <c r="V305" s="5">
        <v>2</v>
      </c>
      <c r="W305" s="1" t="s">
        <v>81</v>
      </c>
      <c r="X305" s="5">
        <v>7</v>
      </c>
      <c r="Y305" s="5">
        <v>4</v>
      </c>
      <c r="Z305" s="5">
        <v>11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11</v>
      </c>
      <c r="AK305" s="1" t="s">
        <v>81</v>
      </c>
      <c r="AL305" s="6">
        <v>12</v>
      </c>
      <c r="AM305" s="6">
        <v>14</v>
      </c>
      <c r="AN305" s="1">
        <v>4</v>
      </c>
      <c r="AO305" s="1">
        <v>7</v>
      </c>
      <c r="AP305" s="1">
        <v>54</v>
      </c>
      <c r="AQ305" s="1">
        <v>46</v>
      </c>
      <c r="AR305" s="1" t="s">
        <v>574</v>
      </c>
      <c r="AS305" s="1" t="s">
        <v>564</v>
      </c>
      <c r="AT305" s="1" t="s">
        <v>554</v>
      </c>
      <c r="AU305" s="1" t="s">
        <v>84</v>
      </c>
      <c r="AV305" s="1" t="s">
        <v>85</v>
      </c>
      <c r="AW305" s="1" t="s">
        <v>557</v>
      </c>
      <c r="AX305" s="1"/>
    </row>
    <row r="306" spans="1:50" ht="15" customHeight="1">
      <c r="A306" s="1">
        <v>2022</v>
      </c>
      <c r="B306" s="1" t="s">
        <v>552</v>
      </c>
      <c r="C306" s="1" t="s">
        <v>619</v>
      </c>
      <c r="D306" s="1" t="s">
        <v>219</v>
      </c>
      <c r="E306" s="1" t="s">
        <v>220</v>
      </c>
      <c r="F306" s="4">
        <v>44898</v>
      </c>
      <c r="G306" s="1" t="s">
        <v>74</v>
      </c>
      <c r="H306" s="1" t="s">
        <v>122</v>
      </c>
      <c r="I306" s="1" t="s">
        <v>146</v>
      </c>
      <c r="J306" s="5">
        <v>3</v>
      </c>
      <c r="K306" s="5">
        <v>1</v>
      </c>
      <c r="L306" s="1" t="s">
        <v>130</v>
      </c>
      <c r="M306" s="1" t="s">
        <v>78</v>
      </c>
      <c r="N306" s="1" t="s">
        <v>122</v>
      </c>
      <c r="O306" s="1" t="s">
        <v>122</v>
      </c>
      <c r="P306" s="1" t="s">
        <v>31</v>
      </c>
      <c r="Q306" s="2" t="b">
        <v>0</v>
      </c>
      <c r="R306" s="2" t="b">
        <v>0</v>
      </c>
      <c r="S306" s="1" t="s">
        <v>79</v>
      </c>
      <c r="T306" s="5">
        <v>4</v>
      </c>
      <c r="U306" s="5">
        <v>5</v>
      </c>
      <c r="V306" s="5">
        <v>9</v>
      </c>
      <c r="W306" s="1" t="s">
        <v>81</v>
      </c>
      <c r="X306" s="5">
        <v>2</v>
      </c>
      <c r="Y306" s="5">
        <v>0</v>
      </c>
      <c r="Z306" s="5">
        <v>2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2</v>
      </c>
      <c r="AK306" s="1" t="s">
        <v>81</v>
      </c>
      <c r="AL306" s="6">
        <v>11</v>
      </c>
      <c r="AM306" s="6">
        <v>17</v>
      </c>
      <c r="AN306" s="1">
        <v>6</v>
      </c>
      <c r="AO306" s="1">
        <v>8</v>
      </c>
      <c r="AP306" s="1">
        <v>42</v>
      </c>
      <c r="AQ306" s="1">
        <v>58</v>
      </c>
      <c r="AR306" s="1" t="s">
        <v>560</v>
      </c>
      <c r="AS306" s="1" t="s">
        <v>561</v>
      </c>
      <c r="AT306" s="1" t="s">
        <v>554</v>
      </c>
      <c r="AU306" s="1" t="s">
        <v>84</v>
      </c>
      <c r="AV306" s="1" t="s">
        <v>85</v>
      </c>
      <c r="AW306" s="1" t="s">
        <v>557</v>
      </c>
      <c r="AX306" s="1"/>
    </row>
    <row r="307" spans="1:50" ht="15" customHeight="1">
      <c r="A307" s="1">
        <v>2022</v>
      </c>
      <c r="B307" s="1" t="s">
        <v>552</v>
      </c>
      <c r="C307" s="1" t="s">
        <v>620</v>
      </c>
      <c r="D307" s="1" t="s">
        <v>219</v>
      </c>
      <c r="E307" s="1" t="s">
        <v>220</v>
      </c>
      <c r="F307" s="4">
        <v>44898</v>
      </c>
      <c r="G307" s="1" t="s">
        <v>377</v>
      </c>
      <c r="H307" s="1" t="s">
        <v>115</v>
      </c>
      <c r="I307" s="1" t="s">
        <v>140</v>
      </c>
      <c r="J307" s="5">
        <v>2</v>
      </c>
      <c r="K307" s="5">
        <v>1</v>
      </c>
      <c r="L307" s="1" t="s">
        <v>117</v>
      </c>
      <c r="M307" s="1" t="s">
        <v>78</v>
      </c>
      <c r="N307" s="1" t="s">
        <v>115</v>
      </c>
      <c r="O307" s="1" t="s">
        <v>115</v>
      </c>
      <c r="P307" s="1" t="s">
        <v>31</v>
      </c>
      <c r="Q307" s="2" t="b">
        <v>0</v>
      </c>
      <c r="R307" s="2" t="b">
        <v>0</v>
      </c>
      <c r="S307" s="1" t="s">
        <v>79</v>
      </c>
      <c r="T307" s="5">
        <v>1</v>
      </c>
      <c r="U307" s="5">
        <v>3</v>
      </c>
      <c r="V307" s="5">
        <v>4</v>
      </c>
      <c r="W307" s="1" t="s">
        <v>81</v>
      </c>
      <c r="X307" s="5">
        <v>0</v>
      </c>
      <c r="Y307" s="5">
        <v>2</v>
      </c>
      <c r="Z307" s="5">
        <v>2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2</v>
      </c>
      <c r="AK307" s="1" t="s">
        <v>81</v>
      </c>
      <c r="AL307" s="6">
        <v>14</v>
      </c>
      <c r="AM307" s="6">
        <v>5</v>
      </c>
      <c r="AN307" s="1">
        <v>5</v>
      </c>
      <c r="AO307" s="1">
        <v>1</v>
      </c>
      <c r="AP307" s="1">
        <v>61</v>
      </c>
      <c r="AQ307" s="1">
        <v>39</v>
      </c>
      <c r="AR307" s="1" t="s">
        <v>567</v>
      </c>
      <c r="AS307" s="1" t="s">
        <v>561</v>
      </c>
      <c r="AT307" s="1" t="s">
        <v>554</v>
      </c>
      <c r="AU307" s="1" t="s">
        <v>84</v>
      </c>
      <c r="AV307" s="1" t="s">
        <v>85</v>
      </c>
      <c r="AW307" s="1" t="s">
        <v>557</v>
      </c>
      <c r="AX307" s="1"/>
    </row>
    <row r="308" spans="1:50" ht="15" customHeight="1">
      <c r="A308" s="1">
        <v>2022</v>
      </c>
      <c r="B308" s="1" t="s">
        <v>552</v>
      </c>
      <c r="C308" s="1" t="s">
        <v>621</v>
      </c>
      <c r="D308" s="1" t="s">
        <v>219</v>
      </c>
      <c r="E308" s="1" t="s">
        <v>220</v>
      </c>
      <c r="F308" s="4">
        <v>44899</v>
      </c>
      <c r="G308" s="1" t="s">
        <v>74</v>
      </c>
      <c r="H308" s="1" t="s">
        <v>160</v>
      </c>
      <c r="I308" s="1" t="s">
        <v>90</v>
      </c>
      <c r="J308" s="5">
        <v>3</v>
      </c>
      <c r="K308" s="5">
        <v>1</v>
      </c>
      <c r="L308" s="1" t="s">
        <v>130</v>
      </c>
      <c r="M308" s="1" t="s">
        <v>78</v>
      </c>
      <c r="N308" s="1" t="s">
        <v>160</v>
      </c>
      <c r="O308" s="1" t="s">
        <v>160</v>
      </c>
      <c r="P308" s="1" t="s">
        <v>31</v>
      </c>
      <c r="Q308" s="2" t="b">
        <v>0</v>
      </c>
      <c r="R308" s="2" t="b">
        <v>0</v>
      </c>
      <c r="S308" s="1" t="s">
        <v>79</v>
      </c>
      <c r="T308" s="5">
        <v>7</v>
      </c>
      <c r="U308" s="5">
        <v>1</v>
      </c>
      <c r="V308" s="5">
        <v>8</v>
      </c>
      <c r="W308" s="1" t="s">
        <v>81</v>
      </c>
      <c r="X308" s="5">
        <v>1</v>
      </c>
      <c r="Y308" s="5">
        <v>2</v>
      </c>
      <c r="Z308" s="5">
        <v>3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3</v>
      </c>
      <c r="AK308" s="1" t="s">
        <v>81</v>
      </c>
      <c r="AL308" s="6">
        <v>16</v>
      </c>
      <c r="AM308" s="6">
        <v>12</v>
      </c>
      <c r="AN308" s="1">
        <v>8</v>
      </c>
      <c r="AO308" s="1">
        <v>3</v>
      </c>
      <c r="AP308" s="1">
        <v>55</v>
      </c>
      <c r="AQ308" s="1">
        <v>45</v>
      </c>
      <c r="AR308" s="1" t="s">
        <v>563</v>
      </c>
      <c r="AS308" s="1" t="s">
        <v>564</v>
      </c>
      <c r="AT308" s="1" t="s">
        <v>554</v>
      </c>
      <c r="AU308" s="1" t="s">
        <v>84</v>
      </c>
      <c r="AV308" s="1" t="s">
        <v>85</v>
      </c>
      <c r="AW308" s="1" t="s">
        <v>557</v>
      </c>
      <c r="AX308" s="1"/>
    </row>
    <row r="309" spans="1:50" ht="15" customHeight="1">
      <c r="A309" s="1">
        <v>2022</v>
      </c>
      <c r="B309" s="1" t="s">
        <v>552</v>
      </c>
      <c r="C309" s="1" t="s">
        <v>622</v>
      </c>
      <c r="D309" s="1" t="s">
        <v>219</v>
      </c>
      <c r="E309" s="1" t="s">
        <v>220</v>
      </c>
      <c r="F309" s="4">
        <v>44899</v>
      </c>
      <c r="G309" s="1" t="s">
        <v>377</v>
      </c>
      <c r="H309" s="1" t="s">
        <v>99</v>
      </c>
      <c r="I309" s="1" t="s">
        <v>500</v>
      </c>
      <c r="J309" s="5">
        <v>3</v>
      </c>
      <c r="K309" s="5">
        <v>0</v>
      </c>
      <c r="L309" s="1" t="s">
        <v>180</v>
      </c>
      <c r="M309" s="1" t="s">
        <v>78</v>
      </c>
      <c r="N309" s="1" t="s">
        <v>99</v>
      </c>
      <c r="O309" s="1" t="s">
        <v>99</v>
      </c>
      <c r="P309" s="1" t="s">
        <v>31</v>
      </c>
      <c r="Q309" s="2" t="b">
        <v>0</v>
      </c>
      <c r="R309" s="2" t="b">
        <v>0</v>
      </c>
      <c r="S309" s="1" t="s">
        <v>79</v>
      </c>
      <c r="T309" s="5">
        <v>3</v>
      </c>
      <c r="U309" s="5">
        <v>3</v>
      </c>
      <c r="V309" s="5">
        <v>6</v>
      </c>
      <c r="W309" s="1" t="s">
        <v>81</v>
      </c>
      <c r="X309" s="5">
        <v>0</v>
      </c>
      <c r="Y309" s="5">
        <v>1</v>
      </c>
      <c r="Z309" s="5">
        <v>1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1</v>
      </c>
      <c r="AK309" s="1" t="s">
        <v>81</v>
      </c>
      <c r="AL309" s="6">
        <v>8</v>
      </c>
      <c r="AM309" s="6">
        <v>10</v>
      </c>
      <c r="AN309" s="1">
        <v>4</v>
      </c>
      <c r="AO309" s="1">
        <v>1</v>
      </c>
      <c r="AP309" s="1">
        <v>61</v>
      </c>
      <c r="AQ309" s="1">
        <v>39</v>
      </c>
      <c r="AR309" s="1" t="s">
        <v>555</v>
      </c>
      <c r="AS309" s="1" t="s">
        <v>556</v>
      </c>
      <c r="AT309" s="1" t="s">
        <v>554</v>
      </c>
      <c r="AU309" s="1" t="s">
        <v>84</v>
      </c>
      <c r="AV309" s="1" t="s">
        <v>85</v>
      </c>
      <c r="AW309" s="1" t="s">
        <v>557</v>
      </c>
      <c r="AX309" s="1"/>
    </row>
    <row r="310" spans="1:50" ht="15" customHeight="1">
      <c r="A310" s="1">
        <v>2022</v>
      </c>
      <c r="B310" s="1" t="s">
        <v>552</v>
      </c>
      <c r="C310" s="1" t="s">
        <v>623</v>
      </c>
      <c r="D310" s="1" t="s">
        <v>219</v>
      </c>
      <c r="E310" s="1" t="s">
        <v>220</v>
      </c>
      <c r="F310" s="4">
        <v>44900</v>
      </c>
      <c r="G310" s="1" t="s">
        <v>74</v>
      </c>
      <c r="H310" s="1" t="s">
        <v>141</v>
      </c>
      <c r="I310" s="1" t="s">
        <v>166</v>
      </c>
      <c r="J310" s="5">
        <v>1</v>
      </c>
      <c r="K310" s="5">
        <v>1</v>
      </c>
      <c r="L310" s="1" t="s">
        <v>190</v>
      </c>
      <c r="M310" s="1" t="s">
        <v>108</v>
      </c>
      <c r="N310" s="1" t="s">
        <v>166</v>
      </c>
      <c r="O310" s="1" t="s">
        <v>166</v>
      </c>
      <c r="P310" s="1" t="s">
        <v>228</v>
      </c>
      <c r="Q310" s="2" t="b">
        <v>1</v>
      </c>
      <c r="R310" s="2" t="b">
        <v>1</v>
      </c>
      <c r="S310" s="1" t="s">
        <v>231</v>
      </c>
      <c r="T310" s="5">
        <v>8</v>
      </c>
      <c r="U310" s="5">
        <v>5</v>
      </c>
      <c r="V310" s="5">
        <v>13</v>
      </c>
      <c r="W310" s="1" t="s">
        <v>81</v>
      </c>
      <c r="X310" s="5">
        <v>0</v>
      </c>
      <c r="Y310" s="5">
        <v>2</v>
      </c>
      <c r="Z310" s="5">
        <v>2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2</v>
      </c>
      <c r="AK310" s="1" t="s">
        <v>81</v>
      </c>
      <c r="AL310" s="6">
        <v>9</v>
      </c>
      <c r="AM310" s="6">
        <v>12</v>
      </c>
      <c r="AN310" s="1">
        <v>3</v>
      </c>
      <c r="AO310" s="1">
        <v>3</v>
      </c>
      <c r="AP310" s="1">
        <v>42</v>
      </c>
      <c r="AQ310" s="1">
        <v>58</v>
      </c>
      <c r="AR310" s="1" t="s">
        <v>576</v>
      </c>
      <c r="AS310" s="1" t="s">
        <v>577</v>
      </c>
      <c r="AT310" s="1" t="s">
        <v>554</v>
      </c>
      <c r="AU310" s="1" t="s">
        <v>84</v>
      </c>
      <c r="AV310" s="1" t="s">
        <v>85</v>
      </c>
      <c r="AW310" s="1" t="s">
        <v>557</v>
      </c>
      <c r="AX310" s="1"/>
    </row>
    <row r="311" spans="1:50" ht="15" customHeight="1">
      <c r="A311" s="1">
        <v>2022</v>
      </c>
      <c r="B311" s="1" t="s">
        <v>552</v>
      </c>
      <c r="C311" s="1" t="s">
        <v>624</v>
      </c>
      <c r="D311" s="1" t="s">
        <v>219</v>
      </c>
      <c r="E311" s="1" t="s">
        <v>220</v>
      </c>
      <c r="F311" s="4">
        <v>44900</v>
      </c>
      <c r="G311" s="1" t="s">
        <v>377</v>
      </c>
      <c r="H311" s="1" t="s">
        <v>165</v>
      </c>
      <c r="I311" s="1" t="s">
        <v>157</v>
      </c>
      <c r="J311" s="5">
        <v>4</v>
      </c>
      <c r="K311" s="5">
        <v>1</v>
      </c>
      <c r="L311" s="1" t="s">
        <v>301</v>
      </c>
      <c r="M311" s="1" t="s">
        <v>78</v>
      </c>
      <c r="N311" s="1" t="s">
        <v>165</v>
      </c>
      <c r="O311" s="1" t="s">
        <v>165</v>
      </c>
      <c r="P311" s="1" t="s">
        <v>31</v>
      </c>
      <c r="Q311" s="2" t="b">
        <v>0</v>
      </c>
      <c r="R311" s="2" t="b">
        <v>0</v>
      </c>
      <c r="S311" s="1" t="s">
        <v>79</v>
      </c>
      <c r="T311" s="5">
        <v>5</v>
      </c>
      <c r="U311" s="5">
        <v>4</v>
      </c>
      <c r="V311" s="5">
        <v>9</v>
      </c>
      <c r="W311" s="1" t="s">
        <v>81</v>
      </c>
      <c r="X311" s="5">
        <v>0</v>
      </c>
      <c r="Y311" s="5">
        <v>1</v>
      </c>
      <c r="Z311" s="5">
        <v>1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1</v>
      </c>
      <c r="AK311" s="1" t="s">
        <v>81</v>
      </c>
      <c r="AL311" s="6">
        <v>18</v>
      </c>
      <c r="AM311" s="6">
        <v>8</v>
      </c>
      <c r="AN311" s="1">
        <v>9</v>
      </c>
      <c r="AO311" s="1">
        <v>6</v>
      </c>
      <c r="AP311" s="1">
        <v>53</v>
      </c>
      <c r="AQ311" s="1">
        <v>47</v>
      </c>
      <c r="AR311" s="1" t="s">
        <v>574</v>
      </c>
      <c r="AS311" s="1" t="s">
        <v>564</v>
      </c>
      <c r="AT311" s="1" t="s">
        <v>554</v>
      </c>
      <c r="AU311" s="1" t="s">
        <v>84</v>
      </c>
      <c r="AV311" s="1" t="s">
        <v>85</v>
      </c>
      <c r="AW311" s="1" t="s">
        <v>557</v>
      </c>
      <c r="AX311" s="1"/>
    </row>
    <row r="312" spans="1:50" ht="15" customHeight="1">
      <c r="A312" s="1">
        <v>2022</v>
      </c>
      <c r="B312" s="1" t="s">
        <v>552</v>
      </c>
      <c r="C312" s="1" t="s">
        <v>625</v>
      </c>
      <c r="D312" s="1" t="s">
        <v>219</v>
      </c>
      <c r="E312" s="1" t="s">
        <v>220</v>
      </c>
      <c r="F312" s="4">
        <v>44901</v>
      </c>
      <c r="G312" s="1" t="s">
        <v>74</v>
      </c>
      <c r="H312" s="1" t="s">
        <v>463</v>
      </c>
      <c r="I312" s="1" t="s">
        <v>171</v>
      </c>
      <c r="J312" s="5">
        <v>0</v>
      </c>
      <c r="K312" s="5">
        <v>0</v>
      </c>
      <c r="L312" s="1" t="s">
        <v>107</v>
      </c>
      <c r="M312" s="1" t="s">
        <v>108</v>
      </c>
      <c r="N312" s="1" t="s">
        <v>463</v>
      </c>
      <c r="O312" s="1" t="s">
        <v>463</v>
      </c>
      <c r="P312" s="1" t="s">
        <v>228</v>
      </c>
      <c r="Q312" s="2" t="b">
        <v>1</v>
      </c>
      <c r="R312" s="2" t="b">
        <v>1</v>
      </c>
      <c r="S312" s="1" t="s">
        <v>180</v>
      </c>
      <c r="T312" s="5">
        <v>0</v>
      </c>
      <c r="U312" s="5">
        <v>8</v>
      </c>
      <c r="V312" s="5">
        <v>8</v>
      </c>
      <c r="W312" s="1" t="s">
        <v>81</v>
      </c>
      <c r="X312" s="5">
        <v>1</v>
      </c>
      <c r="Y312" s="5">
        <v>1</v>
      </c>
      <c r="Z312" s="5">
        <v>2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2</v>
      </c>
      <c r="AK312" s="1" t="s">
        <v>81</v>
      </c>
      <c r="AL312" s="6">
        <v>6</v>
      </c>
      <c r="AM312" s="6">
        <v>9</v>
      </c>
      <c r="AN312" s="1">
        <v>3</v>
      </c>
      <c r="AO312" s="1">
        <v>3</v>
      </c>
      <c r="AP312" s="1">
        <v>28</v>
      </c>
      <c r="AQ312" s="1">
        <v>72</v>
      </c>
      <c r="AR312" s="1" t="s">
        <v>572</v>
      </c>
      <c r="AS312" s="1" t="s">
        <v>561</v>
      </c>
      <c r="AT312" s="1" t="s">
        <v>554</v>
      </c>
      <c r="AU312" s="1" t="s">
        <v>84</v>
      </c>
      <c r="AV312" s="1" t="s">
        <v>85</v>
      </c>
      <c r="AW312" s="1" t="s">
        <v>557</v>
      </c>
      <c r="AX312" s="1"/>
    </row>
    <row r="313" spans="1:50" ht="15" customHeight="1">
      <c r="A313" s="1">
        <v>2022</v>
      </c>
      <c r="B313" s="1" t="s">
        <v>552</v>
      </c>
      <c r="C313" s="1" t="s">
        <v>626</v>
      </c>
      <c r="D313" s="1" t="s">
        <v>219</v>
      </c>
      <c r="E313" s="1" t="s">
        <v>220</v>
      </c>
      <c r="F313" s="4">
        <v>44901</v>
      </c>
      <c r="G313" s="1" t="s">
        <v>377</v>
      </c>
      <c r="H313" s="1" t="s">
        <v>135</v>
      </c>
      <c r="I313" s="1" t="s">
        <v>161</v>
      </c>
      <c r="J313" s="5">
        <v>6</v>
      </c>
      <c r="K313" s="5">
        <v>1</v>
      </c>
      <c r="L313" s="1" t="s">
        <v>516</v>
      </c>
      <c r="M313" s="1" t="s">
        <v>78</v>
      </c>
      <c r="N313" s="1" t="s">
        <v>135</v>
      </c>
      <c r="O313" s="1" t="s">
        <v>135</v>
      </c>
      <c r="P313" s="1" t="s">
        <v>31</v>
      </c>
      <c r="Q313" s="2" t="b">
        <v>0</v>
      </c>
      <c r="R313" s="2" t="b">
        <v>0</v>
      </c>
      <c r="S313" s="1" t="s">
        <v>79</v>
      </c>
      <c r="T313" s="5">
        <v>6</v>
      </c>
      <c r="U313" s="5">
        <v>6</v>
      </c>
      <c r="V313" s="5">
        <v>12</v>
      </c>
      <c r="W313" s="1" t="s">
        <v>81</v>
      </c>
      <c r="X313" s="5">
        <v>0</v>
      </c>
      <c r="Y313" s="5">
        <v>2</v>
      </c>
      <c r="Z313" s="5">
        <v>2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2</v>
      </c>
      <c r="AK313" s="1" t="s">
        <v>81</v>
      </c>
      <c r="AL313" s="6">
        <v>7</v>
      </c>
      <c r="AM313" s="6">
        <v>8</v>
      </c>
      <c r="AN313" s="1">
        <v>4</v>
      </c>
      <c r="AO313" s="1">
        <v>2</v>
      </c>
      <c r="AP313" s="1">
        <v>44</v>
      </c>
      <c r="AQ313" s="1">
        <v>56</v>
      </c>
      <c r="AR313" s="1" t="s">
        <v>569</v>
      </c>
      <c r="AS313" s="1" t="s">
        <v>570</v>
      </c>
      <c r="AT313" s="1" t="s">
        <v>554</v>
      </c>
      <c r="AU313" s="1" t="s">
        <v>84</v>
      </c>
      <c r="AV313" s="1" t="s">
        <v>85</v>
      </c>
      <c r="AW313" s="1" t="s">
        <v>557</v>
      </c>
      <c r="AX313" s="1"/>
    </row>
    <row r="314" spans="1:50" ht="15" customHeight="1">
      <c r="A314" s="1">
        <v>2022</v>
      </c>
      <c r="B314" s="1" t="s">
        <v>552</v>
      </c>
      <c r="C314" s="1" t="s">
        <v>627</v>
      </c>
      <c r="D314" s="1" t="s">
        <v>233</v>
      </c>
      <c r="E314" s="1" t="s">
        <v>220</v>
      </c>
      <c r="F314" s="4">
        <v>44904</v>
      </c>
      <c r="G314" s="1" t="s">
        <v>74</v>
      </c>
      <c r="H314" s="1" t="s">
        <v>166</v>
      </c>
      <c r="I314" s="1" t="s">
        <v>165</v>
      </c>
      <c r="J314" s="5">
        <v>1</v>
      </c>
      <c r="K314" s="5">
        <v>1</v>
      </c>
      <c r="L314" s="1" t="s">
        <v>190</v>
      </c>
      <c r="M314" s="1" t="s">
        <v>108</v>
      </c>
      <c r="N314" s="1" t="s">
        <v>166</v>
      </c>
      <c r="O314" s="1" t="s">
        <v>166</v>
      </c>
      <c r="P314" s="1" t="s">
        <v>228</v>
      </c>
      <c r="Q314" s="2" t="b">
        <v>1</v>
      </c>
      <c r="R314" s="2" t="b">
        <v>1</v>
      </c>
      <c r="S314" s="1" t="s">
        <v>77</v>
      </c>
      <c r="T314" s="5">
        <v>3</v>
      </c>
      <c r="U314" s="5">
        <v>7</v>
      </c>
      <c r="V314" s="5">
        <v>10</v>
      </c>
      <c r="W314" s="1" t="s">
        <v>81</v>
      </c>
      <c r="X314" s="5">
        <v>2</v>
      </c>
      <c r="Y314" s="5">
        <v>3</v>
      </c>
      <c r="Z314" s="5">
        <v>5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5</v>
      </c>
      <c r="AK314" s="1" t="s">
        <v>81</v>
      </c>
      <c r="AL314" s="6">
        <v>6</v>
      </c>
      <c r="AM314" s="6">
        <v>15</v>
      </c>
      <c r="AN314" s="1">
        <v>0</v>
      </c>
      <c r="AO314" s="1">
        <v>8</v>
      </c>
      <c r="AP314" s="1">
        <v>51</v>
      </c>
      <c r="AQ314" s="1">
        <v>49</v>
      </c>
      <c r="AR314" s="1" t="s">
        <v>572</v>
      </c>
      <c r="AS314" s="1" t="s">
        <v>561</v>
      </c>
      <c r="AT314" s="1" t="s">
        <v>554</v>
      </c>
      <c r="AU314" s="1" t="s">
        <v>84</v>
      </c>
      <c r="AV314" s="1" t="s">
        <v>85</v>
      </c>
      <c r="AW314" s="1" t="s">
        <v>557</v>
      </c>
      <c r="AX314" s="1"/>
    </row>
    <row r="315" spans="1:50" ht="15" customHeight="1">
      <c r="A315" s="1">
        <v>2022</v>
      </c>
      <c r="B315" s="1" t="s">
        <v>552</v>
      </c>
      <c r="C315" s="1" t="s">
        <v>628</v>
      </c>
      <c r="D315" s="1" t="s">
        <v>233</v>
      </c>
      <c r="E315" s="1" t="s">
        <v>220</v>
      </c>
      <c r="F315" s="4">
        <v>44904</v>
      </c>
      <c r="G315" s="1" t="s">
        <v>377</v>
      </c>
      <c r="H315" s="1" t="s">
        <v>122</v>
      </c>
      <c r="I315" s="1" t="s">
        <v>115</v>
      </c>
      <c r="J315" s="5">
        <v>2</v>
      </c>
      <c r="K315" s="5">
        <v>2</v>
      </c>
      <c r="L315" s="1" t="s">
        <v>177</v>
      </c>
      <c r="M315" s="1" t="s">
        <v>108</v>
      </c>
      <c r="N315" s="1" t="s">
        <v>115</v>
      </c>
      <c r="O315" s="1" t="s">
        <v>115</v>
      </c>
      <c r="P315" s="1" t="s">
        <v>228</v>
      </c>
      <c r="Q315" s="2" t="b">
        <v>1</v>
      </c>
      <c r="R315" s="2" t="b">
        <v>1</v>
      </c>
      <c r="S315" s="1" t="s">
        <v>538</v>
      </c>
      <c r="T315" s="5">
        <v>2</v>
      </c>
      <c r="U315" s="5">
        <v>8</v>
      </c>
      <c r="V315" s="5">
        <v>10</v>
      </c>
      <c r="W315" s="1" t="s">
        <v>81</v>
      </c>
      <c r="X315" s="5">
        <v>7</v>
      </c>
      <c r="Y315" s="5">
        <v>8</v>
      </c>
      <c r="Z315" s="5">
        <v>15</v>
      </c>
      <c r="AA315" s="5">
        <v>0</v>
      </c>
      <c r="AB315" s="5">
        <v>0</v>
      </c>
      <c r="AC315" s="5">
        <v>0</v>
      </c>
      <c r="AD315" s="5">
        <v>1</v>
      </c>
      <c r="AE315" s="5">
        <v>0</v>
      </c>
      <c r="AF315" s="5">
        <v>1</v>
      </c>
      <c r="AG315" s="5">
        <v>1</v>
      </c>
      <c r="AH315" s="5">
        <v>0</v>
      </c>
      <c r="AI315" s="5">
        <v>1</v>
      </c>
      <c r="AJ315" s="5">
        <v>16</v>
      </c>
      <c r="AK315" s="1" t="s">
        <v>81</v>
      </c>
      <c r="AL315" s="6">
        <v>5</v>
      </c>
      <c r="AM315" s="6">
        <v>7</v>
      </c>
      <c r="AN315" s="1">
        <v>2</v>
      </c>
      <c r="AO315" s="1">
        <v>4</v>
      </c>
      <c r="AP315" s="1">
        <v>52</v>
      </c>
      <c r="AQ315" s="1">
        <v>48</v>
      </c>
      <c r="AR315" s="1" t="s">
        <v>569</v>
      </c>
      <c r="AS315" s="1" t="s">
        <v>570</v>
      </c>
      <c r="AT315" s="1" t="s">
        <v>554</v>
      </c>
      <c r="AU315" s="1" t="s">
        <v>84</v>
      </c>
      <c r="AV315" s="1" t="s">
        <v>85</v>
      </c>
      <c r="AW315" s="1" t="s">
        <v>557</v>
      </c>
      <c r="AX315" s="1"/>
    </row>
    <row r="316" spans="1:50" ht="15" customHeight="1">
      <c r="A316" s="1">
        <v>2022</v>
      </c>
      <c r="B316" s="1" t="s">
        <v>552</v>
      </c>
      <c r="C316" s="1" t="s">
        <v>629</v>
      </c>
      <c r="D316" s="1" t="s">
        <v>233</v>
      </c>
      <c r="E316" s="1" t="s">
        <v>220</v>
      </c>
      <c r="F316" s="4">
        <v>44905</v>
      </c>
      <c r="G316" s="1" t="s">
        <v>74</v>
      </c>
      <c r="H316" s="1" t="s">
        <v>463</v>
      </c>
      <c r="I316" s="1" t="s">
        <v>135</v>
      </c>
      <c r="J316" s="5">
        <v>1</v>
      </c>
      <c r="K316" s="5">
        <v>0</v>
      </c>
      <c r="L316" s="1" t="s">
        <v>101</v>
      </c>
      <c r="M316" s="1" t="s">
        <v>78</v>
      </c>
      <c r="N316" s="1" t="s">
        <v>463</v>
      </c>
      <c r="O316" s="1" t="s">
        <v>463</v>
      </c>
      <c r="P316" s="1" t="s">
        <v>31</v>
      </c>
      <c r="Q316" s="2" t="b">
        <v>0</v>
      </c>
      <c r="R316" s="2" t="b">
        <v>0</v>
      </c>
      <c r="S316" s="1" t="s">
        <v>79</v>
      </c>
      <c r="T316" s="5">
        <v>3</v>
      </c>
      <c r="U316" s="5">
        <v>9</v>
      </c>
      <c r="V316" s="5">
        <v>12</v>
      </c>
      <c r="W316" s="1" t="s">
        <v>81</v>
      </c>
      <c r="X316" s="5">
        <v>2</v>
      </c>
      <c r="Y316" s="5">
        <v>1</v>
      </c>
      <c r="Z316" s="5">
        <v>3</v>
      </c>
      <c r="AA316" s="5">
        <v>0</v>
      </c>
      <c r="AB316" s="5">
        <v>0</v>
      </c>
      <c r="AC316" s="5">
        <v>0</v>
      </c>
      <c r="AD316" s="5">
        <v>1</v>
      </c>
      <c r="AE316" s="5">
        <v>0</v>
      </c>
      <c r="AF316" s="5">
        <v>1</v>
      </c>
      <c r="AG316" s="5">
        <v>1</v>
      </c>
      <c r="AH316" s="5">
        <v>0</v>
      </c>
      <c r="AI316" s="5">
        <v>1</v>
      </c>
      <c r="AJ316" s="5">
        <v>4</v>
      </c>
      <c r="AK316" s="1" t="s">
        <v>81</v>
      </c>
      <c r="AL316" s="6">
        <v>9</v>
      </c>
      <c r="AM316" s="6">
        <v>12</v>
      </c>
      <c r="AN316" s="1">
        <v>3</v>
      </c>
      <c r="AO316" s="1">
        <v>3</v>
      </c>
      <c r="AP316" s="1">
        <v>27</v>
      </c>
      <c r="AQ316" s="1">
        <v>73</v>
      </c>
      <c r="AR316" s="1" t="s">
        <v>563</v>
      </c>
      <c r="AS316" s="1" t="s">
        <v>564</v>
      </c>
      <c r="AT316" s="1" t="s">
        <v>554</v>
      </c>
      <c r="AU316" s="1" t="s">
        <v>84</v>
      </c>
      <c r="AV316" s="1" t="s">
        <v>85</v>
      </c>
      <c r="AW316" s="1" t="s">
        <v>557</v>
      </c>
      <c r="AX316" s="1"/>
    </row>
    <row r="317" spans="1:50" ht="15" customHeight="1">
      <c r="A317" s="1">
        <v>2022</v>
      </c>
      <c r="B317" s="1" t="s">
        <v>552</v>
      </c>
      <c r="C317" s="1" t="s">
        <v>630</v>
      </c>
      <c r="D317" s="1" t="s">
        <v>233</v>
      </c>
      <c r="E317" s="1" t="s">
        <v>220</v>
      </c>
      <c r="F317" s="4">
        <v>44905</v>
      </c>
      <c r="G317" s="1" t="s">
        <v>377</v>
      </c>
      <c r="H317" s="1" t="s">
        <v>99</v>
      </c>
      <c r="I317" s="1" t="s">
        <v>160</v>
      </c>
      <c r="J317" s="5">
        <v>1</v>
      </c>
      <c r="K317" s="5">
        <v>2</v>
      </c>
      <c r="L317" s="1" t="s">
        <v>200</v>
      </c>
      <c r="M317" s="1" t="s">
        <v>93</v>
      </c>
      <c r="N317" s="1" t="s">
        <v>160</v>
      </c>
      <c r="O317" s="1" t="s">
        <v>160</v>
      </c>
      <c r="P317" s="1" t="s">
        <v>31</v>
      </c>
      <c r="Q317" s="2" t="b">
        <v>0</v>
      </c>
      <c r="R317" s="2" t="b">
        <v>0</v>
      </c>
      <c r="S317" s="1" t="s">
        <v>79</v>
      </c>
      <c r="T317" s="5">
        <v>5</v>
      </c>
      <c r="U317" s="5">
        <v>2</v>
      </c>
      <c r="V317" s="5">
        <v>7</v>
      </c>
      <c r="W317" s="1" t="s">
        <v>81</v>
      </c>
      <c r="X317" s="5">
        <v>1</v>
      </c>
      <c r="Y317" s="5">
        <v>3</v>
      </c>
      <c r="Z317" s="5">
        <v>4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4</v>
      </c>
      <c r="AK317" s="1" t="s">
        <v>81</v>
      </c>
      <c r="AL317" s="6">
        <v>16</v>
      </c>
      <c r="AM317" s="6">
        <v>8</v>
      </c>
      <c r="AN317" s="1">
        <v>8</v>
      </c>
      <c r="AO317" s="1">
        <v>5</v>
      </c>
      <c r="AP317" s="1">
        <v>57</v>
      </c>
      <c r="AQ317" s="1">
        <v>43</v>
      </c>
      <c r="AR317" s="1" t="s">
        <v>555</v>
      </c>
      <c r="AS317" s="1" t="s">
        <v>556</v>
      </c>
      <c r="AT317" s="1" t="s">
        <v>554</v>
      </c>
      <c r="AU317" s="1" t="s">
        <v>84</v>
      </c>
      <c r="AV317" s="1" t="s">
        <v>85</v>
      </c>
      <c r="AW317" s="1" t="s">
        <v>557</v>
      </c>
      <c r="AX317" s="1"/>
    </row>
    <row r="318" spans="1:50" ht="15" customHeight="1">
      <c r="A318" s="1">
        <v>2022</v>
      </c>
      <c r="B318" s="1" t="s">
        <v>552</v>
      </c>
      <c r="C318" s="1" t="s">
        <v>631</v>
      </c>
      <c r="D318" s="1" t="s">
        <v>238</v>
      </c>
      <c r="E318" s="1" t="s">
        <v>220</v>
      </c>
      <c r="F318" s="4">
        <v>44908</v>
      </c>
      <c r="G318" s="1" t="s">
        <v>377</v>
      </c>
      <c r="H318" s="1" t="s">
        <v>115</v>
      </c>
      <c r="I318" s="1" t="s">
        <v>166</v>
      </c>
      <c r="J318" s="5">
        <v>3</v>
      </c>
      <c r="K318" s="5">
        <v>0</v>
      </c>
      <c r="L318" s="1" t="s">
        <v>180</v>
      </c>
      <c r="M318" s="1" t="s">
        <v>78</v>
      </c>
      <c r="N318" s="1" t="s">
        <v>115</v>
      </c>
      <c r="O318" s="1" t="s">
        <v>115</v>
      </c>
      <c r="P318" s="1" t="s">
        <v>31</v>
      </c>
      <c r="Q318" s="2" t="b">
        <v>0</v>
      </c>
      <c r="R318" s="2" t="b">
        <v>0</v>
      </c>
      <c r="S318" s="1" t="s">
        <v>79</v>
      </c>
      <c r="T318" s="5">
        <v>2</v>
      </c>
      <c r="U318" s="5">
        <v>4</v>
      </c>
      <c r="V318" s="5">
        <v>6</v>
      </c>
      <c r="W318" s="1" t="s">
        <v>81</v>
      </c>
      <c r="X318" s="5">
        <v>2</v>
      </c>
      <c r="Y318" s="5">
        <v>2</v>
      </c>
      <c r="Z318" s="5">
        <v>4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4</v>
      </c>
      <c r="AK318" s="1" t="s">
        <v>81</v>
      </c>
      <c r="AL318" s="6">
        <v>9</v>
      </c>
      <c r="AM318" s="6">
        <v>12</v>
      </c>
      <c r="AN318" s="1">
        <v>7</v>
      </c>
      <c r="AO318" s="1">
        <v>2</v>
      </c>
      <c r="AP318" s="1">
        <v>39</v>
      </c>
      <c r="AQ318" s="1">
        <v>61</v>
      </c>
      <c r="AR318" s="1" t="s">
        <v>569</v>
      </c>
      <c r="AS318" s="1" t="s">
        <v>570</v>
      </c>
      <c r="AT318" s="1" t="s">
        <v>554</v>
      </c>
      <c r="AU318" s="1" t="s">
        <v>84</v>
      </c>
      <c r="AV318" s="1" t="s">
        <v>85</v>
      </c>
      <c r="AW318" s="1" t="s">
        <v>557</v>
      </c>
      <c r="AX318" s="1"/>
    </row>
    <row r="319" spans="1:50" ht="15" customHeight="1">
      <c r="A319" s="1">
        <v>2022</v>
      </c>
      <c r="B319" s="1" t="s">
        <v>552</v>
      </c>
      <c r="C319" s="1" t="s">
        <v>632</v>
      </c>
      <c r="D319" s="1" t="s">
        <v>238</v>
      </c>
      <c r="E319" s="1" t="s">
        <v>220</v>
      </c>
      <c r="F319" s="4">
        <v>44909</v>
      </c>
      <c r="G319" s="1" t="s">
        <v>377</v>
      </c>
      <c r="H319" s="1" t="s">
        <v>160</v>
      </c>
      <c r="I319" s="1" t="s">
        <v>463</v>
      </c>
      <c r="J319" s="5">
        <v>2</v>
      </c>
      <c r="K319" s="5">
        <v>0</v>
      </c>
      <c r="L319" s="1" t="s">
        <v>152</v>
      </c>
      <c r="M319" s="1" t="s">
        <v>78</v>
      </c>
      <c r="N319" s="1" t="s">
        <v>160</v>
      </c>
      <c r="O319" s="1" t="s">
        <v>160</v>
      </c>
      <c r="P319" s="1" t="s">
        <v>31</v>
      </c>
      <c r="Q319" s="2" t="b">
        <v>0</v>
      </c>
      <c r="R319" s="2" t="b">
        <v>0</v>
      </c>
      <c r="S319" s="1" t="s">
        <v>79</v>
      </c>
      <c r="T319" s="5">
        <v>2</v>
      </c>
      <c r="U319" s="5">
        <v>3</v>
      </c>
      <c r="V319" s="5">
        <v>5</v>
      </c>
      <c r="W319" s="1" t="s">
        <v>81</v>
      </c>
      <c r="X319" s="5">
        <v>0</v>
      </c>
      <c r="Y319" s="5">
        <v>1</v>
      </c>
      <c r="Z319" s="5">
        <v>1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1</v>
      </c>
      <c r="AK319" s="1" t="s">
        <v>81</v>
      </c>
      <c r="AL319" s="6">
        <v>14</v>
      </c>
      <c r="AM319" s="6">
        <v>13</v>
      </c>
      <c r="AN319" s="1">
        <v>3</v>
      </c>
      <c r="AO319" s="1">
        <v>3</v>
      </c>
      <c r="AP319" s="1">
        <v>39</v>
      </c>
      <c r="AQ319" s="1">
        <v>61</v>
      </c>
      <c r="AR319" s="1" t="s">
        <v>555</v>
      </c>
      <c r="AS319" s="1" t="s">
        <v>556</v>
      </c>
      <c r="AT319" s="1" t="s">
        <v>554</v>
      </c>
      <c r="AU319" s="1" t="s">
        <v>84</v>
      </c>
      <c r="AV319" s="1" t="s">
        <v>85</v>
      </c>
      <c r="AW319" s="1" t="s">
        <v>557</v>
      </c>
      <c r="AX319" s="1"/>
    </row>
    <row r="320" spans="1:50" ht="15" customHeight="1">
      <c r="A320" s="1">
        <v>2022</v>
      </c>
      <c r="B320" s="1" t="s">
        <v>552</v>
      </c>
      <c r="C320" s="1" t="s">
        <v>633</v>
      </c>
      <c r="D320" s="1" t="s">
        <v>241</v>
      </c>
      <c r="E320" s="1" t="s">
        <v>220</v>
      </c>
      <c r="F320" s="4">
        <v>44912</v>
      </c>
      <c r="G320" s="1" t="s">
        <v>74</v>
      </c>
      <c r="H320" s="1" t="s">
        <v>166</v>
      </c>
      <c r="I320" s="1" t="s">
        <v>463</v>
      </c>
      <c r="J320" s="5">
        <v>2</v>
      </c>
      <c r="K320" s="5">
        <v>1</v>
      </c>
      <c r="L320" s="1" t="s">
        <v>117</v>
      </c>
      <c r="M320" s="1" t="s">
        <v>78</v>
      </c>
      <c r="N320" s="1" t="s">
        <v>166</v>
      </c>
      <c r="O320" s="1" t="s">
        <v>166</v>
      </c>
      <c r="P320" s="1" t="s">
        <v>31</v>
      </c>
      <c r="Q320" s="2" t="b">
        <v>0</v>
      </c>
      <c r="R320" s="2" t="b">
        <v>0</v>
      </c>
      <c r="S320" s="1" t="s">
        <v>79</v>
      </c>
      <c r="T320" s="5">
        <v>6</v>
      </c>
      <c r="U320" s="5">
        <v>3</v>
      </c>
      <c r="V320" s="5">
        <v>9</v>
      </c>
      <c r="W320" s="1" t="s">
        <v>81</v>
      </c>
      <c r="X320" s="5">
        <v>0</v>
      </c>
      <c r="Y320" s="5">
        <v>2</v>
      </c>
      <c r="Z320" s="5">
        <v>2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2</v>
      </c>
      <c r="AK320" s="1" t="s">
        <v>81</v>
      </c>
      <c r="AL320" s="6">
        <v>12</v>
      </c>
      <c r="AM320" s="6">
        <v>9</v>
      </c>
      <c r="AN320" s="1">
        <v>4</v>
      </c>
      <c r="AO320" s="1">
        <v>2</v>
      </c>
      <c r="AP320" s="1">
        <v>51</v>
      </c>
      <c r="AQ320" s="1">
        <v>49</v>
      </c>
      <c r="AR320" s="1" t="s">
        <v>560</v>
      </c>
      <c r="AS320" s="1" t="s">
        <v>561</v>
      </c>
      <c r="AT320" s="1" t="s">
        <v>554</v>
      </c>
      <c r="AU320" s="1" t="s">
        <v>84</v>
      </c>
      <c r="AV320" s="1" t="s">
        <v>85</v>
      </c>
      <c r="AW320" s="1" t="s">
        <v>557</v>
      </c>
      <c r="AX320" s="1"/>
    </row>
    <row r="321" spans="1:50" ht="15" customHeight="1">
      <c r="A321" s="1">
        <v>2022</v>
      </c>
      <c r="B321" s="1" t="s">
        <v>552</v>
      </c>
      <c r="C321" s="1" t="s">
        <v>634</v>
      </c>
      <c r="D321" s="1" t="s">
        <v>243</v>
      </c>
      <c r="E321" s="1" t="s">
        <v>220</v>
      </c>
      <c r="F321" s="4">
        <v>44913</v>
      </c>
      <c r="G321" s="1" t="s">
        <v>74</v>
      </c>
      <c r="H321" s="1" t="s">
        <v>115</v>
      </c>
      <c r="I321" s="1" t="s">
        <v>160</v>
      </c>
      <c r="J321" s="5">
        <v>3</v>
      </c>
      <c r="K321" s="5">
        <v>3</v>
      </c>
      <c r="L321" s="1" t="s">
        <v>467</v>
      </c>
      <c r="M321" s="1" t="s">
        <v>108</v>
      </c>
      <c r="N321" s="1" t="s">
        <v>115</v>
      </c>
      <c r="O321" s="1" t="s">
        <v>115</v>
      </c>
      <c r="P321" s="1" t="s">
        <v>228</v>
      </c>
      <c r="Q321" s="2" t="b">
        <v>1</v>
      </c>
      <c r="R321" s="2" t="b">
        <v>1</v>
      </c>
      <c r="S321" s="1" t="s">
        <v>77</v>
      </c>
      <c r="T321" s="5">
        <v>6</v>
      </c>
      <c r="U321" s="5">
        <v>5</v>
      </c>
      <c r="V321" s="5">
        <v>11</v>
      </c>
      <c r="W321" s="1" t="s">
        <v>81</v>
      </c>
      <c r="X321" s="5">
        <v>5</v>
      </c>
      <c r="Y321" s="5">
        <v>3</v>
      </c>
      <c r="Z321" s="5">
        <v>8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8</v>
      </c>
      <c r="AK321" s="1" t="s">
        <v>81</v>
      </c>
      <c r="AL321" s="6">
        <v>12</v>
      </c>
      <c r="AM321" s="6">
        <v>6</v>
      </c>
      <c r="AN321" s="1">
        <v>7</v>
      </c>
      <c r="AO321" s="1">
        <v>3</v>
      </c>
      <c r="AP321" s="1">
        <v>54</v>
      </c>
      <c r="AQ321" s="1">
        <v>46</v>
      </c>
      <c r="AR321" s="1" t="s">
        <v>569</v>
      </c>
      <c r="AS321" s="1" t="s">
        <v>570</v>
      </c>
      <c r="AT321" s="1" t="s">
        <v>554</v>
      </c>
      <c r="AU321" s="1" t="s">
        <v>84</v>
      </c>
      <c r="AV321" s="1" t="s">
        <v>85</v>
      </c>
      <c r="AW321" s="1" t="s">
        <v>557</v>
      </c>
      <c r="AX3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I321"/>
  <sheetViews>
    <sheetView showGridLines="0" topLeftCell="A49" workbookViewId="0"/>
  </sheetViews>
  <sheetFormatPr defaultRowHeight="14.25"/>
  <cols>
    <col min="1" max="1" width="13" customWidth="1"/>
    <col min="2" max="2" width="12.125" customWidth="1"/>
    <col min="3" max="3" width="16.5" customWidth="1"/>
    <col min="4" max="5" width="18" customWidth="1"/>
    <col min="6" max="6" width="7.125" customWidth="1"/>
    <col min="7" max="7" width="6.875" customWidth="1"/>
    <col min="8" max="8" width="5.875" customWidth="1"/>
    <col min="9" max="9" width="10.875" customWidth="1"/>
    <col min="10" max="12" width="8.375" customWidth="1"/>
    <col min="13" max="14" width="9.5" customWidth="1"/>
    <col min="15" max="15" width="15.625" customWidth="1"/>
    <col min="16" max="16" width="16.75" customWidth="1"/>
    <col min="17" max="17" width="16.625" customWidth="1"/>
    <col min="18" max="18" width="16.75" customWidth="1"/>
    <col min="19" max="19" width="5.25" customWidth="1"/>
    <col min="20" max="20" width="5.125" customWidth="1"/>
    <col min="21" max="21" width="12.5" customWidth="1"/>
    <col min="22" max="23" width="15.25" customWidth="1"/>
    <col min="24" max="24" width="5.125" customWidth="1"/>
    <col min="25" max="25" width="5" customWidth="1"/>
    <col min="26" max="27" width="5.25" customWidth="1"/>
    <col min="28" max="28" width="10.875" customWidth="1"/>
    <col min="29" max="31" width="13.25" customWidth="1"/>
    <col min="32" max="32" width="15.25" customWidth="1"/>
    <col min="33" max="33" width="12.5" customWidth="1"/>
    <col min="34" max="34" width="34.375" customWidth="1"/>
    <col min="35" max="35" width="55" customWidth="1"/>
  </cols>
  <sheetData>
    <row r="1" spans="1:35" ht="15" customHeight="1">
      <c r="A1" s="3" t="s">
        <v>22</v>
      </c>
      <c r="B1" s="3" t="s">
        <v>25</v>
      </c>
      <c r="C1" s="3" t="s">
        <v>635</v>
      </c>
      <c r="D1" s="3" t="s">
        <v>27</v>
      </c>
      <c r="E1" s="3" t="s">
        <v>28</v>
      </c>
      <c r="F1" s="3" t="s">
        <v>636</v>
      </c>
      <c r="G1" s="3" t="s">
        <v>637</v>
      </c>
      <c r="H1" s="3" t="s">
        <v>638</v>
      </c>
      <c r="I1" s="3" t="s">
        <v>639</v>
      </c>
      <c r="J1" s="3" t="s">
        <v>640</v>
      </c>
      <c r="K1" s="3" t="s">
        <v>641</v>
      </c>
      <c r="L1" s="3" t="s">
        <v>642</v>
      </c>
      <c r="M1" s="3" t="s">
        <v>643</v>
      </c>
      <c r="N1" s="3" t="s">
        <v>644</v>
      </c>
      <c r="O1" s="3" t="s">
        <v>645</v>
      </c>
      <c r="P1" s="3" t="s">
        <v>646</v>
      </c>
      <c r="Q1" s="3" t="s">
        <v>647</v>
      </c>
      <c r="R1" s="3" t="s">
        <v>648</v>
      </c>
      <c r="S1" s="3" t="s">
        <v>649</v>
      </c>
      <c r="T1" s="3" t="s">
        <v>650</v>
      </c>
      <c r="U1" s="3" t="s">
        <v>651</v>
      </c>
      <c r="V1" s="3" t="s">
        <v>652</v>
      </c>
      <c r="W1" s="3" t="s">
        <v>653</v>
      </c>
      <c r="X1" s="3" t="s">
        <v>654</v>
      </c>
      <c r="Y1" s="3" t="s">
        <v>655</v>
      </c>
      <c r="Z1" s="3" t="s">
        <v>656</v>
      </c>
      <c r="AA1" s="3" t="s">
        <v>657</v>
      </c>
      <c r="AB1" s="3" t="s">
        <v>658</v>
      </c>
      <c r="AC1" s="3" t="s">
        <v>659</v>
      </c>
      <c r="AD1" s="3" t="s">
        <v>660</v>
      </c>
      <c r="AE1" s="3" t="s">
        <v>661</v>
      </c>
      <c r="AF1" s="3" t="s">
        <v>42</v>
      </c>
      <c r="AG1" s="3" t="s">
        <v>56</v>
      </c>
      <c r="AH1" s="3" t="s">
        <v>662</v>
      </c>
      <c r="AI1" s="3" t="s">
        <v>663</v>
      </c>
    </row>
    <row r="2" spans="1:35" ht="15" customHeight="1">
      <c r="A2" s="1" t="str">
        <f>Partidas!C2</f>
        <v>M-2006-01</v>
      </c>
      <c r="B2" s="4">
        <f>Partidas!F2</f>
        <v>38877</v>
      </c>
      <c r="C2" s="1">
        <f>Partidas!A2</f>
        <v>2006</v>
      </c>
      <c r="D2" s="1" t="str">
        <f>Partidas!H2</f>
        <v>Germany</v>
      </c>
      <c r="E2" s="1" t="str">
        <f>Partidas!I2</f>
        <v>Costa Rica</v>
      </c>
      <c r="F2" s="5">
        <f>Partidas!J2</f>
        <v>4</v>
      </c>
      <c r="G2" s="5">
        <f>Partidas!K2</f>
        <v>2</v>
      </c>
      <c r="H2" s="1" t="str">
        <f>Partidas!M2</f>
        <v>H</v>
      </c>
      <c r="I2" s="5">
        <f t="shared" ref="I2:I65" si="0">F2+G2</f>
        <v>6</v>
      </c>
      <c r="J2" s="1" t="b">
        <f t="shared" ref="J2:J65" si="1">I2&gt;1.5</f>
        <v>1</v>
      </c>
      <c r="K2" s="1" t="b">
        <f t="shared" ref="K2:K65" si="2">I2&gt;2.5</f>
        <v>1</v>
      </c>
      <c r="L2" s="1" t="b">
        <f t="shared" ref="L2:L65" si="3">I2&gt;3.5</f>
        <v>1</v>
      </c>
      <c r="M2" s="1" t="b">
        <f t="shared" ref="M2:M65" si="4">I2&lt;2.5</f>
        <v>0</v>
      </c>
      <c r="N2" s="1" t="b">
        <f t="shared" ref="N2:N65" si="5">I2&lt;3.5</f>
        <v>0</v>
      </c>
      <c r="O2" s="1" t="b">
        <f t="shared" ref="O2:O65" si="6">AND(F2&gt;0,G2&gt;0)</f>
        <v>1</v>
      </c>
      <c r="P2" s="1" t="b">
        <f t="shared" ref="P2:P65" si="7">OR(H2="H",H2="D")</f>
        <v>1</v>
      </c>
      <c r="Q2" s="1" t="b">
        <f t="shared" ref="Q2:Q65" si="8">OR(H2="H",H2="A")</f>
        <v>1</v>
      </c>
      <c r="R2" s="1" t="b">
        <f t="shared" ref="R2:R65" si="9">OR(H2="D",H2="A")</f>
        <v>0</v>
      </c>
      <c r="S2" s="5">
        <f>Partidas!T2</f>
        <v>0</v>
      </c>
      <c r="T2" s="5">
        <f>Partidas!U2</f>
        <v>0</v>
      </c>
      <c r="U2" s="5">
        <f t="shared" ref="U2:U65" si="10">IF(OR(S2="",T2=""),"",S2+T2)</f>
        <v>0</v>
      </c>
      <c r="V2" s="5" t="b">
        <f t="shared" ref="V2:V65" si="11">IF(U2="","dados_insuficientes",U2&gt;8.5)</f>
        <v>0</v>
      </c>
      <c r="W2" s="5" t="b">
        <f t="shared" ref="W2:W65" si="12">IF(U2="","dados_insuficientes",U2&gt;9.5)</f>
        <v>0</v>
      </c>
      <c r="X2" s="5">
        <f>Partidas!X2</f>
        <v>0</v>
      </c>
      <c r="Y2" s="5">
        <f>Partidas!Y2</f>
        <v>1</v>
      </c>
      <c r="Z2" s="5">
        <f>Partidas!AG2</f>
        <v>0</v>
      </c>
      <c r="AA2" s="5">
        <f>Partidas!AH2</f>
        <v>0</v>
      </c>
      <c r="AB2" s="5">
        <f t="shared" ref="AB2:AB65" si="13">X2+Y2+Z2+AA2</f>
        <v>1</v>
      </c>
      <c r="AC2" s="1" t="b">
        <f t="shared" ref="AC2:AC65" si="14">AB2&gt;3.5</f>
        <v>0</v>
      </c>
      <c r="AD2" s="1" t="b">
        <f t="shared" ref="AD2:AD65" si="15">AB2&gt;4.5</f>
        <v>0</v>
      </c>
      <c r="AE2" s="1" t="b">
        <f t="shared" ref="AE2:AE65" si="16">AB2&gt;5.5</f>
        <v>0</v>
      </c>
      <c r="AF2" s="1" t="str">
        <f>Partidas!W2</f>
        <v>dados_insuficientes</v>
      </c>
      <c r="AG2" s="1" t="str">
        <f>Partidas!AK2</f>
        <v>ok</v>
      </c>
      <c r="AH2" s="1" t="str">
        <f t="shared" ref="AH2:AH65" si="17">"Fjelstul World Cup Database + FootyStats CSV"</f>
        <v>Fjelstul World Cup Database + FootyStats CSV</v>
      </c>
      <c r="AI2" s="1" t="str">
        <f>Partidas!AX2</f>
        <v>Escanteios por partida indisponiveis no CSV FootyStats desta edicao; nao preencher com estimativa.</v>
      </c>
    </row>
    <row r="3" spans="1:35" ht="15" customHeight="1">
      <c r="A3" s="1" t="str">
        <f>Partidas!C3</f>
        <v>M-2006-02</v>
      </c>
      <c r="B3" s="4">
        <f>Partidas!F3</f>
        <v>38877</v>
      </c>
      <c r="C3" s="1">
        <f>Partidas!A3</f>
        <v>2006</v>
      </c>
      <c r="D3" s="1" t="str">
        <f>Partidas!H3</f>
        <v>Poland</v>
      </c>
      <c r="E3" s="1" t="str">
        <f>Partidas!I3</f>
        <v>Ecuador</v>
      </c>
      <c r="F3" s="5">
        <f>Partidas!J3</f>
        <v>0</v>
      </c>
      <c r="G3" s="5">
        <f>Partidas!K3</f>
        <v>2</v>
      </c>
      <c r="H3" s="1" t="str">
        <f>Partidas!M3</f>
        <v>A</v>
      </c>
      <c r="I3" s="5">
        <f t="shared" si="0"/>
        <v>2</v>
      </c>
      <c r="J3" s="1" t="b">
        <f t="shared" si="1"/>
        <v>1</v>
      </c>
      <c r="K3" s="1" t="b">
        <f t="shared" si="2"/>
        <v>0</v>
      </c>
      <c r="L3" s="1" t="b">
        <f t="shared" si="3"/>
        <v>0</v>
      </c>
      <c r="M3" s="1" t="b">
        <f t="shared" si="4"/>
        <v>1</v>
      </c>
      <c r="N3" s="1" t="b">
        <f t="shared" si="5"/>
        <v>1</v>
      </c>
      <c r="O3" s="1" t="b">
        <f t="shared" si="6"/>
        <v>0</v>
      </c>
      <c r="P3" s="1" t="b">
        <f t="shared" si="7"/>
        <v>0</v>
      </c>
      <c r="Q3" s="1" t="b">
        <f t="shared" si="8"/>
        <v>1</v>
      </c>
      <c r="R3" s="1" t="b">
        <f t="shared" si="9"/>
        <v>1</v>
      </c>
      <c r="S3" s="5">
        <f>Partidas!T3</f>
        <v>0</v>
      </c>
      <c r="T3" s="5">
        <f>Partidas!U3</f>
        <v>0</v>
      </c>
      <c r="U3" s="5">
        <f t="shared" si="10"/>
        <v>0</v>
      </c>
      <c r="V3" s="5" t="b">
        <f t="shared" si="11"/>
        <v>0</v>
      </c>
      <c r="W3" s="5" t="b">
        <f t="shared" si="12"/>
        <v>0</v>
      </c>
      <c r="X3" s="5">
        <f>Partidas!X3</f>
        <v>1</v>
      </c>
      <c r="Y3" s="5">
        <f>Partidas!Y3</f>
        <v>2</v>
      </c>
      <c r="Z3" s="5">
        <f>Partidas!AG3</f>
        <v>0</v>
      </c>
      <c r="AA3" s="5">
        <f>Partidas!AH3</f>
        <v>0</v>
      </c>
      <c r="AB3" s="5">
        <f t="shared" si="13"/>
        <v>3</v>
      </c>
      <c r="AC3" s="1" t="b">
        <f t="shared" si="14"/>
        <v>0</v>
      </c>
      <c r="AD3" s="1" t="b">
        <f t="shared" si="15"/>
        <v>0</v>
      </c>
      <c r="AE3" s="1" t="b">
        <f t="shared" si="16"/>
        <v>0</v>
      </c>
      <c r="AF3" s="1" t="str">
        <f>Partidas!W3</f>
        <v>dados_insuficientes</v>
      </c>
      <c r="AG3" s="1" t="str">
        <f>Partidas!AK3</f>
        <v>ok</v>
      </c>
      <c r="AH3" s="1" t="str">
        <f t="shared" si="17"/>
        <v>Fjelstul World Cup Database + FootyStats CSV</v>
      </c>
      <c r="AI3" s="1" t="str">
        <f>Partidas!AX3</f>
        <v>Escanteios por partida indisponiveis no CSV FootyStats desta edicao; nao preencher com estimativa.</v>
      </c>
    </row>
    <row r="4" spans="1:35" ht="15" customHeight="1">
      <c r="A4" s="1" t="str">
        <f>Partidas!C4</f>
        <v>M-2006-03</v>
      </c>
      <c r="B4" s="4">
        <f>Partidas!F4</f>
        <v>38878</v>
      </c>
      <c r="C4" s="1">
        <f>Partidas!A4</f>
        <v>2006</v>
      </c>
      <c r="D4" s="1" t="str">
        <f>Partidas!H4</f>
        <v>England</v>
      </c>
      <c r="E4" s="1" t="str">
        <f>Partidas!I4</f>
        <v>Paraguay</v>
      </c>
      <c r="F4" s="5">
        <f>Partidas!J4</f>
        <v>1</v>
      </c>
      <c r="G4" s="5">
        <f>Partidas!K4</f>
        <v>0</v>
      </c>
      <c r="H4" s="1" t="str">
        <f>Partidas!M4</f>
        <v>H</v>
      </c>
      <c r="I4" s="5">
        <f t="shared" si="0"/>
        <v>1</v>
      </c>
      <c r="J4" s="1" t="b">
        <f t="shared" si="1"/>
        <v>0</v>
      </c>
      <c r="K4" s="1" t="b">
        <f t="shared" si="2"/>
        <v>0</v>
      </c>
      <c r="L4" s="1" t="b">
        <f t="shared" si="3"/>
        <v>0</v>
      </c>
      <c r="M4" s="1" t="b">
        <f t="shared" si="4"/>
        <v>1</v>
      </c>
      <c r="N4" s="1" t="b">
        <f t="shared" si="5"/>
        <v>1</v>
      </c>
      <c r="O4" s="1" t="b">
        <f t="shared" si="6"/>
        <v>0</v>
      </c>
      <c r="P4" s="1" t="b">
        <f t="shared" si="7"/>
        <v>1</v>
      </c>
      <c r="Q4" s="1" t="b">
        <f t="shared" si="8"/>
        <v>1</v>
      </c>
      <c r="R4" s="1" t="b">
        <f t="shared" si="9"/>
        <v>0</v>
      </c>
      <c r="S4" s="5">
        <f>Partidas!T4</f>
        <v>0</v>
      </c>
      <c r="T4" s="5">
        <f>Partidas!U4</f>
        <v>0</v>
      </c>
      <c r="U4" s="5">
        <f t="shared" si="10"/>
        <v>0</v>
      </c>
      <c r="V4" s="5" t="b">
        <f t="shared" si="11"/>
        <v>0</v>
      </c>
      <c r="W4" s="5" t="b">
        <f t="shared" si="12"/>
        <v>0</v>
      </c>
      <c r="X4" s="5">
        <f>Partidas!X4</f>
        <v>2</v>
      </c>
      <c r="Y4" s="5">
        <f>Partidas!Y4</f>
        <v>1</v>
      </c>
      <c r="Z4" s="5">
        <f>Partidas!AG4</f>
        <v>0</v>
      </c>
      <c r="AA4" s="5">
        <f>Partidas!AH4</f>
        <v>0</v>
      </c>
      <c r="AB4" s="5">
        <f t="shared" si="13"/>
        <v>3</v>
      </c>
      <c r="AC4" s="1" t="b">
        <f t="shared" si="14"/>
        <v>0</v>
      </c>
      <c r="AD4" s="1" t="b">
        <f t="shared" si="15"/>
        <v>0</v>
      </c>
      <c r="AE4" s="1" t="b">
        <f t="shared" si="16"/>
        <v>0</v>
      </c>
      <c r="AF4" s="1" t="str">
        <f>Partidas!W4</f>
        <v>dados_insuficientes</v>
      </c>
      <c r="AG4" s="1" t="str">
        <f>Partidas!AK4</f>
        <v>ok</v>
      </c>
      <c r="AH4" s="1" t="str">
        <f t="shared" si="17"/>
        <v>Fjelstul World Cup Database + FootyStats CSV</v>
      </c>
      <c r="AI4" s="1" t="str">
        <f>Partidas!AX4</f>
        <v>Escanteios por partida indisponiveis no CSV FootyStats desta edicao; nao preencher com estimativa.</v>
      </c>
    </row>
    <row r="5" spans="1:35" ht="15" customHeight="1">
      <c r="A5" s="1" t="str">
        <f>Partidas!C5</f>
        <v>M-2006-04</v>
      </c>
      <c r="B5" s="4">
        <f>Partidas!F5</f>
        <v>38878</v>
      </c>
      <c r="C5" s="1">
        <f>Partidas!A5</f>
        <v>2006</v>
      </c>
      <c r="D5" s="1" t="str">
        <f>Partidas!H5</f>
        <v>Trinidad and Tobago</v>
      </c>
      <c r="E5" s="1" t="str">
        <f>Partidas!I5</f>
        <v>Sweden</v>
      </c>
      <c r="F5" s="5">
        <f>Partidas!J5</f>
        <v>0</v>
      </c>
      <c r="G5" s="5">
        <f>Partidas!K5</f>
        <v>0</v>
      </c>
      <c r="H5" s="1" t="str">
        <f>Partidas!M5</f>
        <v>D</v>
      </c>
      <c r="I5" s="5">
        <f t="shared" si="0"/>
        <v>0</v>
      </c>
      <c r="J5" s="1" t="b">
        <f t="shared" si="1"/>
        <v>0</v>
      </c>
      <c r="K5" s="1" t="b">
        <f t="shared" si="2"/>
        <v>0</v>
      </c>
      <c r="L5" s="1" t="b">
        <f t="shared" si="3"/>
        <v>0</v>
      </c>
      <c r="M5" s="1" t="b">
        <f t="shared" si="4"/>
        <v>1</v>
      </c>
      <c r="N5" s="1" t="b">
        <f t="shared" si="5"/>
        <v>1</v>
      </c>
      <c r="O5" s="1" t="b">
        <f t="shared" si="6"/>
        <v>0</v>
      </c>
      <c r="P5" s="1" t="b">
        <f t="shared" si="7"/>
        <v>1</v>
      </c>
      <c r="Q5" s="1" t="b">
        <f t="shared" si="8"/>
        <v>0</v>
      </c>
      <c r="R5" s="1" t="b">
        <f t="shared" si="9"/>
        <v>1</v>
      </c>
      <c r="S5" s="5">
        <f>Partidas!T5</f>
        <v>0</v>
      </c>
      <c r="T5" s="5">
        <f>Partidas!U5</f>
        <v>0</v>
      </c>
      <c r="U5" s="5">
        <f t="shared" si="10"/>
        <v>0</v>
      </c>
      <c r="V5" s="5" t="b">
        <f t="shared" si="11"/>
        <v>0</v>
      </c>
      <c r="W5" s="5" t="b">
        <f t="shared" si="12"/>
        <v>0</v>
      </c>
      <c r="X5" s="5">
        <f>Partidas!X5</f>
        <v>2</v>
      </c>
      <c r="Y5" s="5">
        <f>Partidas!Y5</f>
        <v>1</v>
      </c>
      <c r="Z5" s="5">
        <f>Partidas!AG5</f>
        <v>1</v>
      </c>
      <c r="AA5" s="5">
        <f>Partidas!AH5</f>
        <v>0</v>
      </c>
      <c r="AB5" s="5">
        <f t="shared" si="13"/>
        <v>4</v>
      </c>
      <c r="AC5" s="1" t="b">
        <f t="shared" si="14"/>
        <v>1</v>
      </c>
      <c r="AD5" s="1" t="b">
        <f t="shared" si="15"/>
        <v>0</v>
      </c>
      <c r="AE5" s="1" t="b">
        <f t="shared" si="16"/>
        <v>0</v>
      </c>
      <c r="AF5" s="1" t="str">
        <f>Partidas!W5</f>
        <v>dados_insuficientes</v>
      </c>
      <c r="AG5" s="1" t="str">
        <f>Partidas!AK5</f>
        <v>ok</v>
      </c>
      <c r="AH5" s="1" t="str">
        <f t="shared" si="17"/>
        <v>Fjelstul World Cup Database + FootyStats CSV</v>
      </c>
      <c r="AI5" s="1" t="str">
        <f>Partidas!AX5</f>
        <v>Escanteios por partida indisponiveis no CSV FootyStats desta edicao; nao preencher com estimativa.</v>
      </c>
    </row>
    <row r="6" spans="1:35" ht="15" customHeight="1">
      <c r="A6" s="1" t="str">
        <f>Partidas!C6</f>
        <v>M-2006-05</v>
      </c>
      <c r="B6" s="4">
        <f>Partidas!F6</f>
        <v>38878</v>
      </c>
      <c r="C6" s="1">
        <f>Partidas!A6</f>
        <v>2006</v>
      </c>
      <c r="D6" s="1" t="str">
        <f>Partidas!H6</f>
        <v>Argentina</v>
      </c>
      <c r="E6" s="1" t="str">
        <f>Partidas!I6</f>
        <v>Ivory Coast</v>
      </c>
      <c r="F6" s="5">
        <f>Partidas!J6</f>
        <v>2</v>
      </c>
      <c r="G6" s="5">
        <f>Partidas!K6</f>
        <v>1</v>
      </c>
      <c r="H6" s="1" t="str">
        <f>Partidas!M6</f>
        <v>H</v>
      </c>
      <c r="I6" s="5">
        <f t="shared" si="0"/>
        <v>3</v>
      </c>
      <c r="J6" s="1" t="b">
        <f t="shared" si="1"/>
        <v>1</v>
      </c>
      <c r="K6" s="1" t="b">
        <f t="shared" si="2"/>
        <v>1</v>
      </c>
      <c r="L6" s="1" t="b">
        <f t="shared" si="3"/>
        <v>0</v>
      </c>
      <c r="M6" s="1" t="b">
        <f t="shared" si="4"/>
        <v>0</v>
      </c>
      <c r="N6" s="1" t="b">
        <f t="shared" si="5"/>
        <v>1</v>
      </c>
      <c r="O6" s="1" t="b">
        <f t="shared" si="6"/>
        <v>1</v>
      </c>
      <c r="P6" s="1" t="b">
        <f t="shared" si="7"/>
        <v>1</v>
      </c>
      <c r="Q6" s="1" t="b">
        <f t="shared" si="8"/>
        <v>1</v>
      </c>
      <c r="R6" s="1" t="b">
        <f t="shared" si="9"/>
        <v>0</v>
      </c>
      <c r="S6" s="5">
        <f>Partidas!T6</f>
        <v>0</v>
      </c>
      <c r="T6" s="5">
        <f>Partidas!U6</f>
        <v>0</v>
      </c>
      <c r="U6" s="5">
        <f t="shared" si="10"/>
        <v>0</v>
      </c>
      <c r="V6" s="5" t="b">
        <f t="shared" si="11"/>
        <v>0</v>
      </c>
      <c r="W6" s="5" t="b">
        <f t="shared" si="12"/>
        <v>0</v>
      </c>
      <c r="X6" s="5">
        <f>Partidas!X6</f>
        <v>3</v>
      </c>
      <c r="Y6" s="5">
        <f>Partidas!Y6</f>
        <v>2</v>
      </c>
      <c r="Z6" s="5">
        <f>Partidas!AG6</f>
        <v>0</v>
      </c>
      <c r="AA6" s="5">
        <f>Partidas!AH6</f>
        <v>0</v>
      </c>
      <c r="AB6" s="5">
        <f t="shared" si="13"/>
        <v>5</v>
      </c>
      <c r="AC6" s="1" t="b">
        <f t="shared" si="14"/>
        <v>1</v>
      </c>
      <c r="AD6" s="1" t="b">
        <f t="shared" si="15"/>
        <v>1</v>
      </c>
      <c r="AE6" s="1" t="b">
        <f t="shared" si="16"/>
        <v>0</v>
      </c>
      <c r="AF6" s="1" t="str">
        <f>Partidas!W6</f>
        <v>dados_insuficientes</v>
      </c>
      <c r="AG6" s="1" t="str">
        <f>Partidas!AK6</f>
        <v>ok</v>
      </c>
      <c r="AH6" s="1" t="str">
        <f t="shared" si="17"/>
        <v>Fjelstul World Cup Database + FootyStats CSV</v>
      </c>
      <c r="AI6" s="1" t="str">
        <f>Partidas!AX6</f>
        <v>Escanteios por partida indisponiveis no CSV FootyStats desta edicao; nao preencher com estimativa.</v>
      </c>
    </row>
    <row r="7" spans="1:35" ht="15" customHeight="1">
      <c r="A7" s="1" t="str">
        <f>Partidas!C7</f>
        <v>M-2006-06</v>
      </c>
      <c r="B7" s="4">
        <f>Partidas!F7</f>
        <v>38879</v>
      </c>
      <c r="C7" s="1">
        <f>Partidas!A7</f>
        <v>2006</v>
      </c>
      <c r="D7" s="1" t="str">
        <f>Partidas!H7</f>
        <v>Serbia and Montenegro</v>
      </c>
      <c r="E7" s="1" t="str">
        <f>Partidas!I7</f>
        <v>Netherlands</v>
      </c>
      <c r="F7" s="5">
        <f>Partidas!J7</f>
        <v>0</v>
      </c>
      <c r="G7" s="5">
        <f>Partidas!K7</f>
        <v>1</v>
      </c>
      <c r="H7" s="1" t="str">
        <f>Partidas!M7</f>
        <v>A</v>
      </c>
      <c r="I7" s="5">
        <f t="shared" si="0"/>
        <v>1</v>
      </c>
      <c r="J7" s="1" t="b">
        <f t="shared" si="1"/>
        <v>0</v>
      </c>
      <c r="K7" s="1" t="b">
        <f t="shared" si="2"/>
        <v>0</v>
      </c>
      <c r="L7" s="1" t="b">
        <f t="shared" si="3"/>
        <v>0</v>
      </c>
      <c r="M7" s="1" t="b">
        <f t="shared" si="4"/>
        <v>1</v>
      </c>
      <c r="N7" s="1" t="b">
        <f t="shared" si="5"/>
        <v>1</v>
      </c>
      <c r="O7" s="1" t="b">
        <f t="shared" si="6"/>
        <v>0</v>
      </c>
      <c r="P7" s="1" t="b">
        <f t="shared" si="7"/>
        <v>0</v>
      </c>
      <c r="Q7" s="1" t="b">
        <f t="shared" si="8"/>
        <v>1</v>
      </c>
      <c r="R7" s="1" t="b">
        <f t="shared" si="9"/>
        <v>1</v>
      </c>
      <c r="S7" s="5">
        <f>Partidas!T7</f>
        <v>0</v>
      </c>
      <c r="T7" s="5">
        <f>Partidas!U7</f>
        <v>0</v>
      </c>
      <c r="U7" s="5">
        <f t="shared" si="10"/>
        <v>0</v>
      </c>
      <c r="V7" s="5" t="b">
        <f t="shared" si="11"/>
        <v>0</v>
      </c>
      <c r="W7" s="5" t="b">
        <f t="shared" si="12"/>
        <v>0</v>
      </c>
      <c r="X7" s="5">
        <f>Partidas!X7</f>
        <v>4</v>
      </c>
      <c r="Y7" s="5">
        <f>Partidas!Y7</f>
        <v>2</v>
      </c>
      <c r="Z7" s="5">
        <f>Partidas!AG7</f>
        <v>0</v>
      </c>
      <c r="AA7" s="5">
        <f>Partidas!AH7</f>
        <v>0</v>
      </c>
      <c r="AB7" s="5">
        <f t="shared" si="13"/>
        <v>6</v>
      </c>
      <c r="AC7" s="1" t="b">
        <f t="shared" si="14"/>
        <v>1</v>
      </c>
      <c r="AD7" s="1" t="b">
        <f t="shared" si="15"/>
        <v>1</v>
      </c>
      <c r="AE7" s="1" t="b">
        <f t="shared" si="16"/>
        <v>1</v>
      </c>
      <c r="AF7" s="1" t="str">
        <f>Partidas!W7</f>
        <v>dados_insuficientes</v>
      </c>
      <c r="AG7" s="1" t="str">
        <f>Partidas!AK7</f>
        <v>ok</v>
      </c>
      <c r="AH7" s="1" t="str">
        <f t="shared" si="17"/>
        <v>Fjelstul World Cup Database + FootyStats CSV</v>
      </c>
      <c r="AI7" s="1" t="str">
        <f>Partidas!AX7</f>
        <v>Escanteios por partida indisponiveis no CSV FootyStats desta edicao; nao preencher com estimativa.</v>
      </c>
    </row>
    <row r="8" spans="1:35" ht="15" customHeight="1">
      <c r="A8" s="1" t="str">
        <f>Partidas!C8</f>
        <v>M-2006-07</v>
      </c>
      <c r="B8" s="4">
        <f>Partidas!F8</f>
        <v>38879</v>
      </c>
      <c r="C8" s="1">
        <f>Partidas!A8</f>
        <v>2006</v>
      </c>
      <c r="D8" s="1" t="str">
        <f>Partidas!H8</f>
        <v>Mexico</v>
      </c>
      <c r="E8" s="1" t="str">
        <f>Partidas!I8</f>
        <v>Iran</v>
      </c>
      <c r="F8" s="5">
        <f>Partidas!J8</f>
        <v>3</v>
      </c>
      <c r="G8" s="5">
        <f>Partidas!K8</f>
        <v>1</v>
      </c>
      <c r="H8" s="1" t="str">
        <f>Partidas!M8</f>
        <v>H</v>
      </c>
      <c r="I8" s="5">
        <f t="shared" si="0"/>
        <v>4</v>
      </c>
      <c r="J8" s="1" t="b">
        <f t="shared" si="1"/>
        <v>1</v>
      </c>
      <c r="K8" s="1" t="b">
        <f t="shared" si="2"/>
        <v>1</v>
      </c>
      <c r="L8" s="1" t="b">
        <f t="shared" si="3"/>
        <v>1</v>
      </c>
      <c r="M8" s="1" t="b">
        <f t="shared" si="4"/>
        <v>0</v>
      </c>
      <c r="N8" s="1" t="b">
        <f t="shared" si="5"/>
        <v>0</v>
      </c>
      <c r="O8" s="1" t="b">
        <f t="shared" si="6"/>
        <v>1</v>
      </c>
      <c r="P8" s="1" t="b">
        <f t="shared" si="7"/>
        <v>1</v>
      </c>
      <c r="Q8" s="1" t="b">
        <f t="shared" si="8"/>
        <v>1</v>
      </c>
      <c r="R8" s="1" t="b">
        <f t="shared" si="9"/>
        <v>0</v>
      </c>
      <c r="S8" s="5">
        <f>Partidas!T8</f>
        <v>0</v>
      </c>
      <c r="T8" s="5">
        <f>Partidas!U8</f>
        <v>0</v>
      </c>
      <c r="U8" s="5">
        <f t="shared" si="10"/>
        <v>0</v>
      </c>
      <c r="V8" s="5" t="b">
        <f t="shared" si="11"/>
        <v>0</v>
      </c>
      <c r="W8" s="5" t="b">
        <f t="shared" si="12"/>
        <v>0</v>
      </c>
      <c r="X8" s="5">
        <f>Partidas!X8</f>
        <v>2</v>
      </c>
      <c r="Y8" s="5">
        <f>Partidas!Y8</f>
        <v>1</v>
      </c>
      <c r="Z8" s="5">
        <f>Partidas!AG8</f>
        <v>0</v>
      </c>
      <c r="AA8" s="5">
        <f>Partidas!AH8</f>
        <v>0</v>
      </c>
      <c r="AB8" s="5">
        <f t="shared" si="13"/>
        <v>3</v>
      </c>
      <c r="AC8" s="1" t="b">
        <f t="shared" si="14"/>
        <v>0</v>
      </c>
      <c r="AD8" s="1" t="b">
        <f t="shared" si="15"/>
        <v>0</v>
      </c>
      <c r="AE8" s="1" t="b">
        <f t="shared" si="16"/>
        <v>0</v>
      </c>
      <c r="AF8" s="1" t="str">
        <f>Partidas!W8</f>
        <v>dados_insuficientes</v>
      </c>
      <c r="AG8" s="1" t="str">
        <f>Partidas!AK8</f>
        <v>ok</v>
      </c>
      <c r="AH8" s="1" t="str">
        <f t="shared" si="17"/>
        <v>Fjelstul World Cup Database + FootyStats CSV</v>
      </c>
      <c r="AI8" s="1" t="str">
        <f>Partidas!AX8</f>
        <v>Escanteios por partida indisponiveis no CSV FootyStats desta edicao; nao preencher com estimativa.</v>
      </c>
    </row>
    <row r="9" spans="1:35" ht="15" customHeight="1">
      <c r="A9" s="1" t="str">
        <f>Partidas!C9</f>
        <v>M-2006-08</v>
      </c>
      <c r="B9" s="4">
        <f>Partidas!F9</f>
        <v>38879</v>
      </c>
      <c r="C9" s="1">
        <f>Partidas!A9</f>
        <v>2006</v>
      </c>
      <c r="D9" s="1" t="str">
        <f>Partidas!H9</f>
        <v>Angola</v>
      </c>
      <c r="E9" s="1" t="str">
        <f>Partidas!I9</f>
        <v>Portugal</v>
      </c>
      <c r="F9" s="5">
        <f>Partidas!J9</f>
        <v>0</v>
      </c>
      <c r="G9" s="5">
        <f>Partidas!K9</f>
        <v>1</v>
      </c>
      <c r="H9" s="1" t="str">
        <f>Partidas!M9</f>
        <v>A</v>
      </c>
      <c r="I9" s="5">
        <f t="shared" si="0"/>
        <v>1</v>
      </c>
      <c r="J9" s="1" t="b">
        <f t="shared" si="1"/>
        <v>0</v>
      </c>
      <c r="K9" s="1" t="b">
        <f t="shared" si="2"/>
        <v>0</v>
      </c>
      <c r="L9" s="1" t="b">
        <f t="shared" si="3"/>
        <v>0</v>
      </c>
      <c r="M9" s="1" t="b">
        <f t="shared" si="4"/>
        <v>1</v>
      </c>
      <c r="N9" s="1" t="b">
        <f t="shared" si="5"/>
        <v>1</v>
      </c>
      <c r="O9" s="1" t="b">
        <f t="shared" si="6"/>
        <v>0</v>
      </c>
      <c r="P9" s="1" t="b">
        <f t="shared" si="7"/>
        <v>0</v>
      </c>
      <c r="Q9" s="1" t="b">
        <f t="shared" si="8"/>
        <v>1</v>
      </c>
      <c r="R9" s="1" t="b">
        <f t="shared" si="9"/>
        <v>1</v>
      </c>
      <c r="S9" s="5">
        <f>Partidas!T9</f>
        <v>0</v>
      </c>
      <c r="T9" s="5">
        <f>Partidas!U9</f>
        <v>0</v>
      </c>
      <c r="U9" s="5">
        <f t="shared" si="10"/>
        <v>0</v>
      </c>
      <c r="V9" s="5" t="b">
        <f t="shared" si="11"/>
        <v>0</v>
      </c>
      <c r="W9" s="5" t="b">
        <f t="shared" si="12"/>
        <v>0</v>
      </c>
      <c r="X9" s="5">
        <f>Partidas!X9</f>
        <v>3</v>
      </c>
      <c r="Y9" s="5">
        <f>Partidas!Y9</f>
        <v>2</v>
      </c>
      <c r="Z9" s="5">
        <f>Partidas!AG9</f>
        <v>0</v>
      </c>
      <c r="AA9" s="5">
        <f>Partidas!AH9</f>
        <v>0</v>
      </c>
      <c r="AB9" s="5">
        <f t="shared" si="13"/>
        <v>5</v>
      </c>
      <c r="AC9" s="1" t="b">
        <f t="shared" si="14"/>
        <v>1</v>
      </c>
      <c r="AD9" s="1" t="b">
        <f t="shared" si="15"/>
        <v>1</v>
      </c>
      <c r="AE9" s="1" t="b">
        <f t="shared" si="16"/>
        <v>0</v>
      </c>
      <c r="AF9" s="1" t="str">
        <f>Partidas!W9</f>
        <v>dados_insuficientes</v>
      </c>
      <c r="AG9" s="1" t="str">
        <f>Partidas!AK9</f>
        <v>ok</v>
      </c>
      <c r="AH9" s="1" t="str">
        <f t="shared" si="17"/>
        <v>Fjelstul World Cup Database + FootyStats CSV</v>
      </c>
      <c r="AI9" s="1" t="str">
        <f>Partidas!AX9</f>
        <v>Escanteios por partida indisponiveis no CSV FootyStats desta edicao; nao preencher com estimativa.</v>
      </c>
    </row>
    <row r="10" spans="1:35" ht="15" customHeight="1">
      <c r="A10" s="1" t="str">
        <f>Partidas!C10</f>
        <v>M-2006-09</v>
      </c>
      <c r="B10" s="4">
        <f>Partidas!F10</f>
        <v>38880</v>
      </c>
      <c r="C10" s="1">
        <f>Partidas!A10</f>
        <v>2006</v>
      </c>
      <c r="D10" s="1" t="str">
        <f>Partidas!H10</f>
        <v>Australia</v>
      </c>
      <c r="E10" s="1" t="str">
        <f>Partidas!I10</f>
        <v>Japan</v>
      </c>
      <c r="F10" s="5">
        <f>Partidas!J10</f>
        <v>3</v>
      </c>
      <c r="G10" s="5">
        <f>Partidas!K10</f>
        <v>1</v>
      </c>
      <c r="H10" s="1" t="str">
        <f>Partidas!M10</f>
        <v>H</v>
      </c>
      <c r="I10" s="5">
        <f t="shared" si="0"/>
        <v>4</v>
      </c>
      <c r="J10" s="1" t="b">
        <f t="shared" si="1"/>
        <v>1</v>
      </c>
      <c r="K10" s="1" t="b">
        <f t="shared" si="2"/>
        <v>1</v>
      </c>
      <c r="L10" s="1" t="b">
        <f t="shared" si="3"/>
        <v>1</v>
      </c>
      <c r="M10" s="1" t="b">
        <f t="shared" si="4"/>
        <v>0</v>
      </c>
      <c r="N10" s="1" t="b">
        <f t="shared" si="5"/>
        <v>0</v>
      </c>
      <c r="O10" s="1" t="b">
        <f t="shared" si="6"/>
        <v>1</v>
      </c>
      <c r="P10" s="1" t="b">
        <f t="shared" si="7"/>
        <v>1</v>
      </c>
      <c r="Q10" s="1" t="b">
        <f t="shared" si="8"/>
        <v>1</v>
      </c>
      <c r="R10" s="1" t="b">
        <f t="shared" si="9"/>
        <v>0</v>
      </c>
      <c r="S10" s="5">
        <f>Partidas!T10</f>
        <v>0</v>
      </c>
      <c r="T10" s="5">
        <f>Partidas!U10</f>
        <v>0</v>
      </c>
      <c r="U10" s="5">
        <f t="shared" si="10"/>
        <v>0</v>
      </c>
      <c r="V10" s="5" t="b">
        <f t="shared" si="11"/>
        <v>0</v>
      </c>
      <c r="W10" s="5" t="b">
        <f t="shared" si="12"/>
        <v>0</v>
      </c>
      <c r="X10" s="5">
        <f>Partidas!X10</f>
        <v>4</v>
      </c>
      <c r="Y10" s="5">
        <f>Partidas!Y10</f>
        <v>3</v>
      </c>
      <c r="Z10" s="5">
        <f>Partidas!AG10</f>
        <v>0</v>
      </c>
      <c r="AA10" s="5">
        <f>Partidas!AH10</f>
        <v>0</v>
      </c>
      <c r="AB10" s="5">
        <f t="shared" si="13"/>
        <v>7</v>
      </c>
      <c r="AC10" s="1" t="b">
        <f t="shared" si="14"/>
        <v>1</v>
      </c>
      <c r="AD10" s="1" t="b">
        <f t="shared" si="15"/>
        <v>1</v>
      </c>
      <c r="AE10" s="1" t="b">
        <f t="shared" si="16"/>
        <v>1</v>
      </c>
      <c r="AF10" s="1" t="str">
        <f>Partidas!W10</f>
        <v>dados_insuficientes</v>
      </c>
      <c r="AG10" s="1" t="str">
        <f>Partidas!AK10</f>
        <v>ok</v>
      </c>
      <c r="AH10" s="1" t="str">
        <f t="shared" si="17"/>
        <v>Fjelstul World Cup Database + FootyStats CSV</v>
      </c>
      <c r="AI10" s="1" t="str">
        <f>Partidas!AX10</f>
        <v>Escanteios por partida indisponiveis no CSV FootyStats desta edicao; nao preencher com estimativa.</v>
      </c>
    </row>
    <row r="11" spans="1:35" ht="15" customHeight="1">
      <c r="A11" s="1" t="str">
        <f>Partidas!C11</f>
        <v>M-2006-10</v>
      </c>
      <c r="B11" s="4">
        <f>Partidas!F11</f>
        <v>38880</v>
      </c>
      <c r="C11" s="1">
        <f>Partidas!A11</f>
        <v>2006</v>
      </c>
      <c r="D11" s="1" t="str">
        <f>Partidas!H11</f>
        <v>United States</v>
      </c>
      <c r="E11" s="1" t="str">
        <f>Partidas!I11</f>
        <v>Czech Republic</v>
      </c>
      <c r="F11" s="5">
        <f>Partidas!J11</f>
        <v>0</v>
      </c>
      <c r="G11" s="5">
        <f>Partidas!K11</f>
        <v>3</v>
      </c>
      <c r="H11" s="1" t="str">
        <f>Partidas!M11</f>
        <v>A</v>
      </c>
      <c r="I11" s="5">
        <f t="shared" si="0"/>
        <v>3</v>
      </c>
      <c r="J11" s="1" t="b">
        <f t="shared" si="1"/>
        <v>1</v>
      </c>
      <c r="K11" s="1" t="b">
        <f t="shared" si="2"/>
        <v>1</v>
      </c>
      <c r="L11" s="1" t="b">
        <f t="shared" si="3"/>
        <v>0</v>
      </c>
      <c r="M11" s="1" t="b">
        <f t="shared" si="4"/>
        <v>0</v>
      </c>
      <c r="N11" s="1" t="b">
        <f t="shared" si="5"/>
        <v>1</v>
      </c>
      <c r="O11" s="1" t="b">
        <f t="shared" si="6"/>
        <v>0</v>
      </c>
      <c r="P11" s="1" t="b">
        <f t="shared" si="7"/>
        <v>0</v>
      </c>
      <c r="Q11" s="1" t="b">
        <f t="shared" si="8"/>
        <v>1</v>
      </c>
      <c r="R11" s="1" t="b">
        <f t="shared" si="9"/>
        <v>1</v>
      </c>
      <c r="S11" s="5">
        <f>Partidas!T11</f>
        <v>0</v>
      </c>
      <c r="T11" s="5">
        <f>Partidas!U11</f>
        <v>0</v>
      </c>
      <c r="U11" s="5">
        <f t="shared" si="10"/>
        <v>0</v>
      </c>
      <c r="V11" s="5" t="b">
        <f t="shared" si="11"/>
        <v>0</v>
      </c>
      <c r="W11" s="5" t="b">
        <f t="shared" si="12"/>
        <v>0</v>
      </c>
      <c r="X11" s="5">
        <f>Partidas!X11</f>
        <v>2</v>
      </c>
      <c r="Y11" s="5">
        <f>Partidas!Y11</f>
        <v>4</v>
      </c>
      <c r="Z11" s="5">
        <f>Partidas!AG11</f>
        <v>0</v>
      </c>
      <c r="AA11" s="5">
        <f>Partidas!AH11</f>
        <v>0</v>
      </c>
      <c r="AB11" s="5">
        <f t="shared" si="13"/>
        <v>6</v>
      </c>
      <c r="AC11" s="1" t="b">
        <f t="shared" si="14"/>
        <v>1</v>
      </c>
      <c r="AD11" s="1" t="b">
        <f t="shared" si="15"/>
        <v>1</v>
      </c>
      <c r="AE11" s="1" t="b">
        <f t="shared" si="16"/>
        <v>1</v>
      </c>
      <c r="AF11" s="1" t="str">
        <f>Partidas!W11</f>
        <v>dados_insuficientes</v>
      </c>
      <c r="AG11" s="1" t="str">
        <f>Partidas!AK11</f>
        <v>ok</v>
      </c>
      <c r="AH11" s="1" t="str">
        <f t="shared" si="17"/>
        <v>Fjelstul World Cup Database + FootyStats CSV</v>
      </c>
      <c r="AI11" s="1" t="str">
        <f>Partidas!AX11</f>
        <v>Escanteios por partida indisponiveis no CSV FootyStats desta edicao; nao preencher com estimativa.</v>
      </c>
    </row>
    <row r="12" spans="1:35" ht="15" customHeight="1">
      <c r="A12" s="1" t="str">
        <f>Partidas!C12</f>
        <v>M-2006-11</v>
      </c>
      <c r="B12" s="4">
        <f>Partidas!F12</f>
        <v>38880</v>
      </c>
      <c r="C12" s="1">
        <f>Partidas!A12</f>
        <v>2006</v>
      </c>
      <c r="D12" s="1" t="str">
        <f>Partidas!H12</f>
        <v>Italy</v>
      </c>
      <c r="E12" s="1" t="str">
        <f>Partidas!I12</f>
        <v>Ghana</v>
      </c>
      <c r="F12" s="5">
        <f>Partidas!J12</f>
        <v>2</v>
      </c>
      <c r="G12" s="5">
        <f>Partidas!K12</f>
        <v>0</v>
      </c>
      <c r="H12" s="1" t="str">
        <f>Partidas!M12</f>
        <v>H</v>
      </c>
      <c r="I12" s="5">
        <f t="shared" si="0"/>
        <v>2</v>
      </c>
      <c r="J12" s="1" t="b">
        <f t="shared" si="1"/>
        <v>1</v>
      </c>
      <c r="K12" s="1" t="b">
        <f t="shared" si="2"/>
        <v>0</v>
      </c>
      <c r="L12" s="1" t="b">
        <f t="shared" si="3"/>
        <v>0</v>
      </c>
      <c r="M12" s="1" t="b">
        <f t="shared" si="4"/>
        <v>1</v>
      </c>
      <c r="N12" s="1" t="b">
        <f t="shared" si="5"/>
        <v>1</v>
      </c>
      <c r="O12" s="1" t="b">
        <f t="shared" si="6"/>
        <v>0</v>
      </c>
      <c r="P12" s="1" t="b">
        <f t="shared" si="7"/>
        <v>1</v>
      </c>
      <c r="Q12" s="1" t="b">
        <f t="shared" si="8"/>
        <v>1</v>
      </c>
      <c r="R12" s="1" t="b">
        <f t="shared" si="9"/>
        <v>0</v>
      </c>
      <c r="S12" s="5">
        <f>Partidas!T12</f>
        <v>0</v>
      </c>
      <c r="T12" s="5">
        <f>Partidas!U12</f>
        <v>0</v>
      </c>
      <c r="U12" s="5">
        <f t="shared" si="10"/>
        <v>0</v>
      </c>
      <c r="V12" s="5" t="b">
        <f t="shared" si="11"/>
        <v>0</v>
      </c>
      <c r="W12" s="5" t="b">
        <f t="shared" si="12"/>
        <v>0</v>
      </c>
      <c r="X12" s="5">
        <f>Partidas!X12</f>
        <v>3</v>
      </c>
      <c r="Y12" s="5">
        <f>Partidas!Y12</f>
        <v>2</v>
      </c>
      <c r="Z12" s="5">
        <f>Partidas!AG12</f>
        <v>0</v>
      </c>
      <c r="AA12" s="5">
        <f>Partidas!AH12</f>
        <v>0</v>
      </c>
      <c r="AB12" s="5">
        <f t="shared" si="13"/>
        <v>5</v>
      </c>
      <c r="AC12" s="1" t="b">
        <f t="shared" si="14"/>
        <v>1</v>
      </c>
      <c r="AD12" s="1" t="b">
        <f t="shared" si="15"/>
        <v>1</v>
      </c>
      <c r="AE12" s="1" t="b">
        <f t="shared" si="16"/>
        <v>0</v>
      </c>
      <c r="AF12" s="1" t="str">
        <f>Partidas!W12</f>
        <v>dados_insuficientes</v>
      </c>
      <c r="AG12" s="1" t="str">
        <f>Partidas!AK12</f>
        <v>ok</v>
      </c>
      <c r="AH12" s="1" t="str">
        <f t="shared" si="17"/>
        <v>Fjelstul World Cup Database + FootyStats CSV</v>
      </c>
      <c r="AI12" s="1" t="str">
        <f>Partidas!AX12</f>
        <v>Escanteios por partida indisponiveis no CSV FootyStats desta edicao; nao preencher com estimativa.</v>
      </c>
    </row>
    <row r="13" spans="1:35" ht="15" customHeight="1">
      <c r="A13" s="1" t="str">
        <f>Partidas!C13</f>
        <v>M-2006-12</v>
      </c>
      <c r="B13" s="4">
        <f>Partidas!F13</f>
        <v>38881</v>
      </c>
      <c r="C13" s="1">
        <f>Partidas!A13</f>
        <v>2006</v>
      </c>
      <c r="D13" s="1" t="str">
        <f>Partidas!H13</f>
        <v>South Korea</v>
      </c>
      <c r="E13" s="1" t="str">
        <f>Partidas!I13</f>
        <v>Togo</v>
      </c>
      <c r="F13" s="5">
        <f>Partidas!J13</f>
        <v>2</v>
      </c>
      <c r="G13" s="5">
        <f>Partidas!K13</f>
        <v>1</v>
      </c>
      <c r="H13" s="1" t="str">
        <f>Partidas!M13</f>
        <v>H</v>
      </c>
      <c r="I13" s="5">
        <f t="shared" si="0"/>
        <v>3</v>
      </c>
      <c r="J13" s="1" t="b">
        <f t="shared" si="1"/>
        <v>1</v>
      </c>
      <c r="K13" s="1" t="b">
        <f t="shared" si="2"/>
        <v>1</v>
      </c>
      <c r="L13" s="1" t="b">
        <f t="shared" si="3"/>
        <v>0</v>
      </c>
      <c r="M13" s="1" t="b">
        <f t="shared" si="4"/>
        <v>0</v>
      </c>
      <c r="N13" s="1" t="b">
        <f t="shared" si="5"/>
        <v>1</v>
      </c>
      <c r="O13" s="1" t="b">
        <f t="shared" si="6"/>
        <v>1</v>
      </c>
      <c r="P13" s="1" t="b">
        <f t="shared" si="7"/>
        <v>1</v>
      </c>
      <c r="Q13" s="1" t="b">
        <f t="shared" si="8"/>
        <v>1</v>
      </c>
      <c r="R13" s="1" t="b">
        <f t="shared" si="9"/>
        <v>0</v>
      </c>
      <c r="S13" s="5">
        <f>Partidas!T13</f>
        <v>0</v>
      </c>
      <c r="T13" s="5">
        <f>Partidas!U13</f>
        <v>0</v>
      </c>
      <c r="U13" s="5">
        <f t="shared" si="10"/>
        <v>0</v>
      </c>
      <c r="V13" s="5" t="b">
        <f t="shared" si="11"/>
        <v>0</v>
      </c>
      <c r="W13" s="5" t="b">
        <f t="shared" si="12"/>
        <v>0</v>
      </c>
      <c r="X13" s="5">
        <f>Partidas!X13</f>
        <v>2</v>
      </c>
      <c r="Y13" s="5">
        <f>Partidas!Y13</f>
        <v>3</v>
      </c>
      <c r="Z13" s="5">
        <f>Partidas!AG13</f>
        <v>0</v>
      </c>
      <c r="AA13" s="5">
        <f>Partidas!AH13</f>
        <v>1</v>
      </c>
      <c r="AB13" s="5">
        <f t="shared" si="13"/>
        <v>6</v>
      </c>
      <c r="AC13" s="1" t="b">
        <f t="shared" si="14"/>
        <v>1</v>
      </c>
      <c r="AD13" s="1" t="b">
        <f t="shared" si="15"/>
        <v>1</v>
      </c>
      <c r="AE13" s="1" t="b">
        <f t="shared" si="16"/>
        <v>1</v>
      </c>
      <c r="AF13" s="1" t="str">
        <f>Partidas!W13</f>
        <v>dados_insuficientes</v>
      </c>
      <c r="AG13" s="1" t="str">
        <f>Partidas!AK13</f>
        <v>ok</v>
      </c>
      <c r="AH13" s="1" t="str">
        <f t="shared" si="17"/>
        <v>Fjelstul World Cup Database + FootyStats CSV</v>
      </c>
      <c r="AI13" s="1" t="str">
        <f>Partidas!AX13</f>
        <v>Escanteios por partida indisponiveis no CSV FootyStats desta edicao; nao preencher com estimativa.</v>
      </c>
    </row>
    <row r="14" spans="1:35" ht="15" customHeight="1">
      <c r="A14" s="1" t="str">
        <f>Partidas!C14</f>
        <v>M-2006-13</v>
      </c>
      <c r="B14" s="4">
        <f>Partidas!F14</f>
        <v>38881</v>
      </c>
      <c r="C14" s="1">
        <f>Partidas!A14</f>
        <v>2006</v>
      </c>
      <c r="D14" s="1" t="str">
        <f>Partidas!H14</f>
        <v>France</v>
      </c>
      <c r="E14" s="1" t="str">
        <f>Partidas!I14</f>
        <v>Switzerland</v>
      </c>
      <c r="F14" s="5">
        <f>Partidas!J14</f>
        <v>0</v>
      </c>
      <c r="G14" s="5">
        <f>Partidas!K14</f>
        <v>0</v>
      </c>
      <c r="H14" s="1" t="str">
        <f>Partidas!M14</f>
        <v>D</v>
      </c>
      <c r="I14" s="5">
        <f t="shared" si="0"/>
        <v>0</v>
      </c>
      <c r="J14" s="1" t="b">
        <f t="shared" si="1"/>
        <v>0</v>
      </c>
      <c r="K14" s="1" t="b">
        <f t="shared" si="2"/>
        <v>0</v>
      </c>
      <c r="L14" s="1" t="b">
        <f t="shared" si="3"/>
        <v>0</v>
      </c>
      <c r="M14" s="1" t="b">
        <f t="shared" si="4"/>
        <v>1</v>
      </c>
      <c r="N14" s="1" t="b">
        <f t="shared" si="5"/>
        <v>1</v>
      </c>
      <c r="O14" s="1" t="b">
        <f t="shared" si="6"/>
        <v>0</v>
      </c>
      <c r="P14" s="1" t="b">
        <f t="shared" si="7"/>
        <v>1</v>
      </c>
      <c r="Q14" s="1" t="b">
        <f t="shared" si="8"/>
        <v>0</v>
      </c>
      <c r="R14" s="1" t="b">
        <f t="shared" si="9"/>
        <v>1</v>
      </c>
      <c r="S14" s="5">
        <f>Partidas!T14</f>
        <v>0</v>
      </c>
      <c r="T14" s="5">
        <f>Partidas!U14</f>
        <v>0</v>
      </c>
      <c r="U14" s="5">
        <f t="shared" si="10"/>
        <v>0</v>
      </c>
      <c r="V14" s="5" t="b">
        <f t="shared" si="11"/>
        <v>0</v>
      </c>
      <c r="W14" s="5" t="b">
        <f t="shared" si="12"/>
        <v>0</v>
      </c>
      <c r="X14" s="5">
        <f>Partidas!X14</f>
        <v>3</v>
      </c>
      <c r="Y14" s="5">
        <f>Partidas!Y14</f>
        <v>5</v>
      </c>
      <c r="Z14" s="5">
        <f>Partidas!AG14</f>
        <v>0</v>
      </c>
      <c r="AA14" s="5">
        <f>Partidas!AH14</f>
        <v>0</v>
      </c>
      <c r="AB14" s="5">
        <f t="shared" si="13"/>
        <v>8</v>
      </c>
      <c r="AC14" s="1" t="b">
        <f t="shared" si="14"/>
        <v>1</v>
      </c>
      <c r="AD14" s="1" t="b">
        <f t="shared" si="15"/>
        <v>1</v>
      </c>
      <c r="AE14" s="1" t="b">
        <f t="shared" si="16"/>
        <v>1</v>
      </c>
      <c r="AF14" s="1" t="str">
        <f>Partidas!W14</f>
        <v>dados_insuficientes</v>
      </c>
      <c r="AG14" s="1" t="str">
        <f>Partidas!AK14</f>
        <v>ok</v>
      </c>
      <c r="AH14" s="1" t="str">
        <f t="shared" si="17"/>
        <v>Fjelstul World Cup Database + FootyStats CSV</v>
      </c>
      <c r="AI14" s="1" t="str">
        <f>Partidas!AX14</f>
        <v>Escanteios por partida indisponiveis no CSV FootyStats desta edicao; nao preencher com estimativa.</v>
      </c>
    </row>
    <row r="15" spans="1:35" ht="15" customHeight="1">
      <c r="A15" s="1" t="str">
        <f>Partidas!C15</f>
        <v>M-2006-14</v>
      </c>
      <c r="B15" s="4">
        <f>Partidas!F15</f>
        <v>38881</v>
      </c>
      <c r="C15" s="1">
        <f>Partidas!A15</f>
        <v>2006</v>
      </c>
      <c r="D15" s="1" t="str">
        <f>Partidas!H15</f>
        <v>Brazil</v>
      </c>
      <c r="E15" s="1" t="str">
        <f>Partidas!I15</f>
        <v>Croatia</v>
      </c>
      <c r="F15" s="5">
        <f>Partidas!J15</f>
        <v>1</v>
      </c>
      <c r="G15" s="5">
        <f>Partidas!K15</f>
        <v>0</v>
      </c>
      <c r="H15" s="1" t="str">
        <f>Partidas!M15</f>
        <v>H</v>
      </c>
      <c r="I15" s="5">
        <f t="shared" si="0"/>
        <v>1</v>
      </c>
      <c r="J15" s="1" t="b">
        <f t="shared" si="1"/>
        <v>0</v>
      </c>
      <c r="K15" s="1" t="b">
        <f t="shared" si="2"/>
        <v>0</v>
      </c>
      <c r="L15" s="1" t="b">
        <f t="shared" si="3"/>
        <v>0</v>
      </c>
      <c r="M15" s="1" t="b">
        <f t="shared" si="4"/>
        <v>1</v>
      </c>
      <c r="N15" s="1" t="b">
        <f t="shared" si="5"/>
        <v>1</v>
      </c>
      <c r="O15" s="1" t="b">
        <f t="shared" si="6"/>
        <v>0</v>
      </c>
      <c r="P15" s="1" t="b">
        <f t="shared" si="7"/>
        <v>1</v>
      </c>
      <c r="Q15" s="1" t="b">
        <f t="shared" si="8"/>
        <v>1</v>
      </c>
      <c r="R15" s="1" t="b">
        <f t="shared" si="9"/>
        <v>0</v>
      </c>
      <c r="S15" s="5">
        <f>Partidas!T15</f>
        <v>0</v>
      </c>
      <c r="T15" s="5">
        <f>Partidas!U15</f>
        <v>0</v>
      </c>
      <c r="U15" s="5">
        <f t="shared" si="10"/>
        <v>0</v>
      </c>
      <c r="V15" s="5" t="b">
        <f t="shared" si="11"/>
        <v>0</v>
      </c>
      <c r="W15" s="5" t="b">
        <f t="shared" si="12"/>
        <v>0</v>
      </c>
      <c r="X15" s="5">
        <f>Partidas!X15</f>
        <v>1</v>
      </c>
      <c r="Y15" s="5">
        <f>Partidas!Y15</f>
        <v>3</v>
      </c>
      <c r="Z15" s="5">
        <f>Partidas!AG15</f>
        <v>0</v>
      </c>
      <c r="AA15" s="5">
        <f>Partidas!AH15</f>
        <v>0</v>
      </c>
      <c r="AB15" s="5">
        <f t="shared" si="13"/>
        <v>4</v>
      </c>
      <c r="AC15" s="1" t="b">
        <f t="shared" si="14"/>
        <v>1</v>
      </c>
      <c r="AD15" s="1" t="b">
        <f t="shared" si="15"/>
        <v>0</v>
      </c>
      <c r="AE15" s="1" t="b">
        <f t="shared" si="16"/>
        <v>0</v>
      </c>
      <c r="AF15" s="1" t="str">
        <f>Partidas!W15</f>
        <v>dados_insuficientes</v>
      </c>
      <c r="AG15" s="1" t="str">
        <f>Partidas!AK15</f>
        <v>ok</v>
      </c>
      <c r="AH15" s="1" t="str">
        <f t="shared" si="17"/>
        <v>Fjelstul World Cup Database + FootyStats CSV</v>
      </c>
      <c r="AI15" s="1" t="str">
        <f>Partidas!AX15</f>
        <v>Escanteios por partida indisponiveis no CSV FootyStats desta edicao; nao preencher com estimativa.</v>
      </c>
    </row>
    <row r="16" spans="1:35" ht="15" customHeight="1">
      <c r="A16" s="1" t="str">
        <f>Partidas!C16</f>
        <v>M-2006-15</v>
      </c>
      <c r="B16" s="4">
        <f>Partidas!F16</f>
        <v>38882</v>
      </c>
      <c r="C16" s="1">
        <f>Partidas!A16</f>
        <v>2006</v>
      </c>
      <c r="D16" s="1" t="str">
        <f>Partidas!H16</f>
        <v>Spain</v>
      </c>
      <c r="E16" s="1" t="str">
        <f>Partidas!I16</f>
        <v>Ukraine</v>
      </c>
      <c r="F16" s="5">
        <f>Partidas!J16</f>
        <v>4</v>
      </c>
      <c r="G16" s="5">
        <f>Partidas!K16</f>
        <v>0</v>
      </c>
      <c r="H16" s="1" t="str">
        <f>Partidas!M16</f>
        <v>H</v>
      </c>
      <c r="I16" s="5">
        <f t="shared" si="0"/>
        <v>4</v>
      </c>
      <c r="J16" s="1" t="b">
        <f t="shared" si="1"/>
        <v>1</v>
      </c>
      <c r="K16" s="1" t="b">
        <f t="shared" si="2"/>
        <v>1</v>
      </c>
      <c r="L16" s="1" t="b">
        <f t="shared" si="3"/>
        <v>1</v>
      </c>
      <c r="M16" s="1" t="b">
        <f t="shared" si="4"/>
        <v>0</v>
      </c>
      <c r="N16" s="1" t="b">
        <f t="shared" si="5"/>
        <v>0</v>
      </c>
      <c r="O16" s="1" t="b">
        <f t="shared" si="6"/>
        <v>0</v>
      </c>
      <c r="P16" s="1" t="b">
        <f t="shared" si="7"/>
        <v>1</v>
      </c>
      <c r="Q16" s="1" t="b">
        <f t="shared" si="8"/>
        <v>1</v>
      </c>
      <c r="R16" s="1" t="b">
        <f t="shared" si="9"/>
        <v>0</v>
      </c>
      <c r="S16" s="5">
        <f>Partidas!T16</f>
        <v>0</v>
      </c>
      <c r="T16" s="5">
        <f>Partidas!U16</f>
        <v>0</v>
      </c>
      <c r="U16" s="5">
        <f t="shared" si="10"/>
        <v>0</v>
      </c>
      <c r="V16" s="5" t="b">
        <f t="shared" si="11"/>
        <v>0</v>
      </c>
      <c r="W16" s="5" t="b">
        <f t="shared" si="12"/>
        <v>0</v>
      </c>
      <c r="X16" s="5">
        <f>Partidas!X16</f>
        <v>0</v>
      </c>
      <c r="Y16" s="5">
        <f>Partidas!Y16</f>
        <v>2</v>
      </c>
      <c r="Z16" s="5">
        <f>Partidas!AG16</f>
        <v>0</v>
      </c>
      <c r="AA16" s="5">
        <f>Partidas!AH16</f>
        <v>1</v>
      </c>
      <c r="AB16" s="5">
        <f t="shared" si="13"/>
        <v>3</v>
      </c>
      <c r="AC16" s="1" t="b">
        <f t="shared" si="14"/>
        <v>0</v>
      </c>
      <c r="AD16" s="1" t="b">
        <f t="shared" si="15"/>
        <v>0</v>
      </c>
      <c r="AE16" s="1" t="b">
        <f t="shared" si="16"/>
        <v>0</v>
      </c>
      <c r="AF16" s="1" t="str">
        <f>Partidas!W16</f>
        <v>dados_insuficientes</v>
      </c>
      <c r="AG16" s="1" t="str">
        <f>Partidas!AK16</f>
        <v>ok</v>
      </c>
      <c r="AH16" s="1" t="str">
        <f t="shared" si="17"/>
        <v>Fjelstul World Cup Database + FootyStats CSV</v>
      </c>
      <c r="AI16" s="1" t="str">
        <f>Partidas!AX16</f>
        <v>Escanteios por partida indisponiveis no CSV FootyStats desta edicao; nao preencher com estimativa.</v>
      </c>
    </row>
    <row r="17" spans="1:35" ht="15" customHeight="1">
      <c r="A17" s="1" t="str">
        <f>Partidas!C17</f>
        <v>M-2006-16</v>
      </c>
      <c r="B17" s="4">
        <f>Partidas!F17</f>
        <v>38882</v>
      </c>
      <c r="C17" s="1">
        <f>Partidas!A17</f>
        <v>2006</v>
      </c>
      <c r="D17" s="1" t="str">
        <f>Partidas!H17</f>
        <v>Tunisia</v>
      </c>
      <c r="E17" s="1" t="str">
        <f>Partidas!I17</f>
        <v>Saudi Arabia</v>
      </c>
      <c r="F17" s="5">
        <f>Partidas!J17</f>
        <v>2</v>
      </c>
      <c r="G17" s="5">
        <f>Partidas!K17</f>
        <v>2</v>
      </c>
      <c r="H17" s="1" t="str">
        <f>Partidas!M17</f>
        <v>D</v>
      </c>
      <c r="I17" s="5">
        <f t="shared" si="0"/>
        <v>4</v>
      </c>
      <c r="J17" s="1" t="b">
        <f t="shared" si="1"/>
        <v>1</v>
      </c>
      <c r="K17" s="1" t="b">
        <f t="shared" si="2"/>
        <v>1</v>
      </c>
      <c r="L17" s="1" t="b">
        <f t="shared" si="3"/>
        <v>1</v>
      </c>
      <c r="M17" s="1" t="b">
        <f t="shared" si="4"/>
        <v>0</v>
      </c>
      <c r="N17" s="1" t="b">
        <f t="shared" si="5"/>
        <v>0</v>
      </c>
      <c r="O17" s="1" t="b">
        <f t="shared" si="6"/>
        <v>1</v>
      </c>
      <c r="P17" s="1" t="b">
        <f t="shared" si="7"/>
        <v>1</v>
      </c>
      <c r="Q17" s="1" t="b">
        <f t="shared" si="8"/>
        <v>0</v>
      </c>
      <c r="R17" s="1" t="b">
        <f t="shared" si="9"/>
        <v>1</v>
      </c>
      <c r="S17" s="5">
        <f>Partidas!T17</f>
        <v>0</v>
      </c>
      <c r="T17" s="5">
        <f>Partidas!U17</f>
        <v>0</v>
      </c>
      <c r="U17" s="5">
        <f t="shared" si="10"/>
        <v>0</v>
      </c>
      <c r="V17" s="5" t="b">
        <f t="shared" si="11"/>
        <v>0</v>
      </c>
      <c r="W17" s="5" t="b">
        <f t="shared" si="12"/>
        <v>0</v>
      </c>
      <c r="X17" s="5">
        <f>Partidas!X17</f>
        <v>4</v>
      </c>
      <c r="Y17" s="5">
        <f>Partidas!Y17</f>
        <v>0</v>
      </c>
      <c r="Z17" s="5">
        <f>Partidas!AG17</f>
        <v>0</v>
      </c>
      <c r="AA17" s="5">
        <f>Partidas!AH17</f>
        <v>0</v>
      </c>
      <c r="AB17" s="5">
        <f t="shared" si="13"/>
        <v>4</v>
      </c>
      <c r="AC17" s="1" t="b">
        <f t="shared" si="14"/>
        <v>1</v>
      </c>
      <c r="AD17" s="1" t="b">
        <f t="shared" si="15"/>
        <v>0</v>
      </c>
      <c r="AE17" s="1" t="b">
        <f t="shared" si="16"/>
        <v>0</v>
      </c>
      <c r="AF17" s="1" t="str">
        <f>Partidas!W17</f>
        <v>dados_insuficientes</v>
      </c>
      <c r="AG17" s="1" t="str">
        <f>Partidas!AK17</f>
        <v>ok</v>
      </c>
      <c r="AH17" s="1" t="str">
        <f t="shared" si="17"/>
        <v>Fjelstul World Cup Database + FootyStats CSV</v>
      </c>
      <c r="AI17" s="1" t="str">
        <f>Partidas!AX17</f>
        <v>Escanteios por partida indisponiveis no CSV FootyStats desta edicao; nao preencher com estimativa.</v>
      </c>
    </row>
    <row r="18" spans="1:35" ht="15" customHeight="1">
      <c r="A18" s="1" t="str">
        <f>Partidas!C18</f>
        <v>M-2006-17</v>
      </c>
      <c r="B18" s="4">
        <f>Partidas!F18</f>
        <v>38882</v>
      </c>
      <c r="C18" s="1">
        <f>Partidas!A18</f>
        <v>2006</v>
      </c>
      <c r="D18" s="1" t="str">
        <f>Partidas!H18</f>
        <v>Germany</v>
      </c>
      <c r="E18" s="1" t="str">
        <f>Partidas!I18</f>
        <v>Poland</v>
      </c>
      <c r="F18" s="5">
        <f>Partidas!J18</f>
        <v>1</v>
      </c>
      <c r="G18" s="5">
        <f>Partidas!K18</f>
        <v>0</v>
      </c>
      <c r="H18" s="1" t="str">
        <f>Partidas!M18</f>
        <v>H</v>
      </c>
      <c r="I18" s="5">
        <f t="shared" si="0"/>
        <v>1</v>
      </c>
      <c r="J18" s="1" t="b">
        <f t="shared" si="1"/>
        <v>0</v>
      </c>
      <c r="K18" s="1" t="b">
        <f t="shared" si="2"/>
        <v>0</v>
      </c>
      <c r="L18" s="1" t="b">
        <f t="shared" si="3"/>
        <v>0</v>
      </c>
      <c r="M18" s="1" t="b">
        <f t="shared" si="4"/>
        <v>1</v>
      </c>
      <c r="N18" s="1" t="b">
        <f t="shared" si="5"/>
        <v>1</v>
      </c>
      <c r="O18" s="1" t="b">
        <f t="shared" si="6"/>
        <v>0</v>
      </c>
      <c r="P18" s="1" t="b">
        <f t="shared" si="7"/>
        <v>1</v>
      </c>
      <c r="Q18" s="1" t="b">
        <f t="shared" si="8"/>
        <v>1</v>
      </c>
      <c r="R18" s="1" t="b">
        <f t="shared" si="9"/>
        <v>0</v>
      </c>
      <c r="S18" s="5">
        <f>Partidas!T18</f>
        <v>0</v>
      </c>
      <c r="T18" s="5">
        <f>Partidas!U18</f>
        <v>0</v>
      </c>
      <c r="U18" s="5">
        <f t="shared" si="10"/>
        <v>0</v>
      </c>
      <c r="V18" s="5" t="b">
        <f t="shared" si="11"/>
        <v>0</v>
      </c>
      <c r="W18" s="5" t="b">
        <f t="shared" si="12"/>
        <v>0</v>
      </c>
      <c r="X18" s="5">
        <f>Partidas!X18</f>
        <v>3</v>
      </c>
      <c r="Y18" s="5">
        <f>Partidas!Y18</f>
        <v>3</v>
      </c>
      <c r="Z18" s="5">
        <f>Partidas!AG18</f>
        <v>0</v>
      </c>
      <c r="AA18" s="5">
        <f>Partidas!AH18</f>
        <v>1</v>
      </c>
      <c r="AB18" s="5">
        <f t="shared" si="13"/>
        <v>7</v>
      </c>
      <c r="AC18" s="1" t="b">
        <f t="shared" si="14"/>
        <v>1</v>
      </c>
      <c r="AD18" s="1" t="b">
        <f t="shared" si="15"/>
        <v>1</v>
      </c>
      <c r="AE18" s="1" t="b">
        <f t="shared" si="16"/>
        <v>1</v>
      </c>
      <c r="AF18" s="1" t="str">
        <f>Partidas!W18</f>
        <v>dados_insuficientes</v>
      </c>
      <c r="AG18" s="1" t="str">
        <f>Partidas!AK18</f>
        <v>ok</v>
      </c>
      <c r="AH18" s="1" t="str">
        <f t="shared" si="17"/>
        <v>Fjelstul World Cup Database + FootyStats CSV</v>
      </c>
      <c r="AI18" s="1" t="str">
        <f>Partidas!AX18</f>
        <v>Escanteios por partida indisponiveis no CSV FootyStats desta edicao; nao preencher com estimativa.</v>
      </c>
    </row>
    <row r="19" spans="1:35" ht="15" customHeight="1">
      <c r="A19" s="1" t="str">
        <f>Partidas!C19</f>
        <v>M-2006-18</v>
      </c>
      <c r="B19" s="4">
        <f>Partidas!F19</f>
        <v>38883</v>
      </c>
      <c r="C19" s="1">
        <f>Partidas!A19</f>
        <v>2006</v>
      </c>
      <c r="D19" s="1" t="str">
        <f>Partidas!H19</f>
        <v>Ecuador</v>
      </c>
      <c r="E19" s="1" t="str">
        <f>Partidas!I19</f>
        <v>Costa Rica</v>
      </c>
      <c r="F19" s="5">
        <f>Partidas!J19</f>
        <v>3</v>
      </c>
      <c r="G19" s="5">
        <f>Partidas!K19</f>
        <v>0</v>
      </c>
      <c r="H19" s="1" t="str">
        <f>Partidas!M19</f>
        <v>H</v>
      </c>
      <c r="I19" s="5">
        <f t="shared" si="0"/>
        <v>3</v>
      </c>
      <c r="J19" s="1" t="b">
        <f t="shared" si="1"/>
        <v>1</v>
      </c>
      <c r="K19" s="1" t="b">
        <f t="shared" si="2"/>
        <v>1</v>
      </c>
      <c r="L19" s="1" t="b">
        <f t="shared" si="3"/>
        <v>0</v>
      </c>
      <c r="M19" s="1" t="b">
        <f t="shared" si="4"/>
        <v>0</v>
      </c>
      <c r="N19" s="1" t="b">
        <f t="shared" si="5"/>
        <v>1</v>
      </c>
      <c r="O19" s="1" t="b">
        <f t="shared" si="6"/>
        <v>0</v>
      </c>
      <c r="P19" s="1" t="b">
        <f t="shared" si="7"/>
        <v>1</v>
      </c>
      <c r="Q19" s="1" t="b">
        <f t="shared" si="8"/>
        <v>1</v>
      </c>
      <c r="R19" s="1" t="b">
        <f t="shared" si="9"/>
        <v>0</v>
      </c>
      <c r="S19" s="5">
        <f>Partidas!T19</f>
        <v>0</v>
      </c>
      <c r="T19" s="5">
        <f>Partidas!U19</f>
        <v>0</v>
      </c>
      <c r="U19" s="5">
        <f t="shared" si="10"/>
        <v>0</v>
      </c>
      <c r="V19" s="5" t="b">
        <f t="shared" si="11"/>
        <v>0</v>
      </c>
      <c r="W19" s="5" t="b">
        <f t="shared" si="12"/>
        <v>0</v>
      </c>
      <c r="X19" s="5">
        <f>Partidas!X19</f>
        <v>3</v>
      </c>
      <c r="Y19" s="5">
        <f>Partidas!Y19</f>
        <v>2</v>
      </c>
      <c r="Z19" s="5">
        <f>Partidas!AG19</f>
        <v>0</v>
      </c>
      <c r="AA19" s="5">
        <f>Partidas!AH19</f>
        <v>0</v>
      </c>
      <c r="AB19" s="5">
        <f t="shared" si="13"/>
        <v>5</v>
      </c>
      <c r="AC19" s="1" t="b">
        <f t="shared" si="14"/>
        <v>1</v>
      </c>
      <c r="AD19" s="1" t="b">
        <f t="shared" si="15"/>
        <v>1</v>
      </c>
      <c r="AE19" s="1" t="b">
        <f t="shared" si="16"/>
        <v>0</v>
      </c>
      <c r="AF19" s="1" t="str">
        <f>Partidas!W19</f>
        <v>dados_insuficientes</v>
      </c>
      <c r="AG19" s="1" t="str">
        <f>Partidas!AK19</f>
        <v>ok</v>
      </c>
      <c r="AH19" s="1" t="str">
        <f t="shared" si="17"/>
        <v>Fjelstul World Cup Database + FootyStats CSV</v>
      </c>
      <c r="AI19" s="1" t="str">
        <f>Partidas!AX19</f>
        <v>Escanteios por partida indisponiveis no CSV FootyStats desta edicao; nao preencher com estimativa.</v>
      </c>
    </row>
    <row r="20" spans="1:35" ht="15" customHeight="1">
      <c r="A20" s="1" t="str">
        <f>Partidas!C20</f>
        <v>M-2006-19</v>
      </c>
      <c r="B20" s="4">
        <f>Partidas!F20</f>
        <v>38883</v>
      </c>
      <c r="C20" s="1">
        <f>Partidas!A20</f>
        <v>2006</v>
      </c>
      <c r="D20" s="1" t="str">
        <f>Partidas!H20</f>
        <v>England</v>
      </c>
      <c r="E20" s="1" t="str">
        <f>Partidas!I20</f>
        <v>Trinidad and Tobago</v>
      </c>
      <c r="F20" s="5">
        <f>Partidas!J20</f>
        <v>2</v>
      </c>
      <c r="G20" s="5">
        <f>Partidas!K20</f>
        <v>0</v>
      </c>
      <c r="H20" s="1" t="str">
        <f>Partidas!M20</f>
        <v>H</v>
      </c>
      <c r="I20" s="5">
        <f t="shared" si="0"/>
        <v>2</v>
      </c>
      <c r="J20" s="1" t="b">
        <f t="shared" si="1"/>
        <v>1</v>
      </c>
      <c r="K20" s="1" t="b">
        <f t="shared" si="2"/>
        <v>0</v>
      </c>
      <c r="L20" s="1" t="b">
        <f t="shared" si="3"/>
        <v>0</v>
      </c>
      <c r="M20" s="1" t="b">
        <f t="shared" si="4"/>
        <v>1</v>
      </c>
      <c r="N20" s="1" t="b">
        <f t="shared" si="5"/>
        <v>1</v>
      </c>
      <c r="O20" s="1" t="b">
        <f t="shared" si="6"/>
        <v>0</v>
      </c>
      <c r="P20" s="1" t="b">
        <f t="shared" si="7"/>
        <v>1</v>
      </c>
      <c r="Q20" s="1" t="b">
        <f t="shared" si="8"/>
        <v>1</v>
      </c>
      <c r="R20" s="1" t="b">
        <f t="shared" si="9"/>
        <v>0</v>
      </c>
      <c r="S20" s="5">
        <f>Partidas!T20</f>
        <v>0</v>
      </c>
      <c r="T20" s="5">
        <f>Partidas!U20</f>
        <v>0</v>
      </c>
      <c r="U20" s="5">
        <f t="shared" si="10"/>
        <v>0</v>
      </c>
      <c r="V20" s="5" t="b">
        <f t="shared" si="11"/>
        <v>0</v>
      </c>
      <c r="W20" s="5" t="b">
        <f t="shared" si="12"/>
        <v>0</v>
      </c>
      <c r="X20" s="5">
        <f>Partidas!X20</f>
        <v>1</v>
      </c>
      <c r="Y20" s="5">
        <f>Partidas!Y20</f>
        <v>5</v>
      </c>
      <c r="Z20" s="5">
        <f>Partidas!AG20</f>
        <v>0</v>
      </c>
      <c r="AA20" s="5">
        <f>Partidas!AH20</f>
        <v>0</v>
      </c>
      <c r="AB20" s="5">
        <f t="shared" si="13"/>
        <v>6</v>
      </c>
      <c r="AC20" s="1" t="b">
        <f t="shared" si="14"/>
        <v>1</v>
      </c>
      <c r="AD20" s="1" t="b">
        <f t="shared" si="15"/>
        <v>1</v>
      </c>
      <c r="AE20" s="1" t="b">
        <f t="shared" si="16"/>
        <v>1</v>
      </c>
      <c r="AF20" s="1" t="str">
        <f>Partidas!W20</f>
        <v>dados_insuficientes</v>
      </c>
      <c r="AG20" s="1" t="str">
        <f>Partidas!AK20</f>
        <v>ok</v>
      </c>
      <c r="AH20" s="1" t="str">
        <f t="shared" si="17"/>
        <v>Fjelstul World Cup Database + FootyStats CSV</v>
      </c>
      <c r="AI20" s="1" t="str">
        <f>Partidas!AX20</f>
        <v>Escanteios por partida indisponiveis no CSV FootyStats desta edicao; nao preencher com estimativa.</v>
      </c>
    </row>
    <row r="21" spans="1:35" ht="15" customHeight="1">
      <c r="A21" s="1" t="str">
        <f>Partidas!C21</f>
        <v>M-2006-20</v>
      </c>
      <c r="B21" s="4">
        <f>Partidas!F21</f>
        <v>38883</v>
      </c>
      <c r="C21" s="1">
        <f>Partidas!A21</f>
        <v>2006</v>
      </c>
      <c r="D21" s="1" t="str">
        <f>Partidas!H21</f>
        <v>Sweden</v>
      </c>
      <c r="E21" s="1" t="str">
        <f>Partidas!I21</f>
        <v>Paraguay</v>
      </c>
      <c r="F21" s="5">
        <f>Partidas!J21</f>
        <v>1</v>
      </c>
      <c r="G21" s="5">
        <f>Partidas!K21</f>
        <v>0</v>
      </c>
      <c r="H21" s="1" t="str">
        <f>Partidas!M21</f>
        <v>H</v>
      </c>
      <c r="I21" s="5">
        <f t="shared" si="0"/>
        <v>1</v>
      </c>
      <c r="J21" s="1" t="b">
        <f t="shared" si="1"/>
        <v>0</v>
      </c>
      <c r="K21" s="1" t="b">
        <f t="shared" si="2"/>
        <v>0</v>
      </c>
      <c r="L21" s="1" t="b">
        <f t="shared" si="3"/>
        <v>0</v>
      </c>
      <c r="M21" s="1" t="b">
        <f t="shared" si="4"/>
        <v>1</v>
      </c>
      <c r="N21" s="1" t="b">
        <f t="shared" si="5"/>
        <v>1</v>
      </c>
      <c r="O21" s="1" t="b">
        <f t="shared" si="6"/>
        <v>0</v>
      </c>
      <c r="P21" s="1" t="b">
        <f t="shared" si="7"/>
        <v>1</v>
      </c>
      <c r="Q21" s="1" t="b">
        <f t="shared" si="8"/>
        <v>1</v>
      </c>
      <c r="R21" s="1" t="b">
        <f t="shared" si="9"/>
        <v>0</v>
      </c>
      <c r="S21" s="5">
        <f>Partidas!T21</f>
        <v>0</v>
      </c>
      <c r="T21" s="5">
        <f>Partidas!U21</f>
        <v>0</v>
      </c>
      <c r="U21" s="5">
        <f t="shared" si="10"/>
        <v>0</v>
      </c>
      <c r="V21" s="5" t="b">
        <f t="shared" si="11"/>
        <v>0</v>
      </c>
      <c r="W21" s="5" t="b">
        <f t="shared" si="12"/>
        <v>0</v>
      </c>
      <c r="X21" s="5">
        <f>Partidas!X21</f>
        <v>3</v>
      </c>
      <c r="Y21" s="5">
        <f>Partidas!Y21</f>
        <v>5</v>
      </c>
      <c r="Z21" s="5">
        <f>Partidas!AG21</f>
        <v>0</v>
      </c>
      <c r="AA21" s="5">
        <f>Partidas!AH21</f>
        <v>0</v>
      </c>
      <c r="AB21" s="5">
        <f t="shared" si="13"/>
        <v>8</v>
      </c>
      <c r="AC21" s="1" t="b">
        <f t="shared" si="14"/>
        <v>1</v>
      </c>
      <c r="AD21" s="1" t="b">
        <f t="shared" si="15"/>
        <v>1</v>
      </c>
      <c r="AE21" s="1" t="b">
        <f t="shared" si="16"/>
        <v>1</v>
      </c>
      <c r="AF21" s="1" t="str">
        <f>Partidas!W21</f>
        <v>dados_insuficientes</v>
      </c>
      <c r="AG21" s="1" t="str">
        <f>Partidas!AK21</f>
        <v>ok</v>
      </c>
      <c r="AH21" s="1" t="str">
        <f t="shared" si="17"/>
        <v>Fjelstul World Cup Database + FootyStats CSV</v>
      </c>
      <c r="AI21" s="1" t="str">
        <f>Partidas!AX21</f>
        <v>Escanteios por partida indisponiveis no CSV FootyStats desta edicao; nao preencher com estimativa.</v>
      </c>
    </row>
    <row r="22" spans="1:35" ht="15" customHeight="1">
      <c r="A22" s="1" t="str">
        <f>Partidas!C22</f>
        <v>M-2006-21</v>
      </c>
      <c r="B22" s="4">
        <f>Partidas!F22</f>
        <v>38884</v>
      </c>
      <c r="C22" s="1">
        <f>Partidas!A22</f>
        <v>2006</v>
      </c>
      <c r="D22" s="1" t="str">
        <f>Partidas!H22</f>
        <v>Argentina</v>
      </c>
      <c r="E22" s="1" t="str">
        <f>Partidas!I22</f>
        <v>Serbia and Montenegro</v>
      </c>
      <c r="F22" s="5">
        <f>Partidas!J22</f>
        <v>6</v>
      </c>
      <c r="G22" s="5">
        <f>Partidas!K22</f>
        <v>0</v>
      </c>
      <c r="H22" s="1" t="str">
        <f>Partidas!M22</f>
        <v>H</v>
      </c>
      <c r="I22" s="5">
        <f t="shared" si="0"/>
        <v>6</v>
      </c>
      <c r="J22" s="1" t="b">
        <f t="shared" si="1"/>
        <v>1</v>
      </c>
      <c r="K22" s="1" t="b">
        <f t="shared" si="2"/>
        <v>1</v>
      </c>
      <c r="L22" s="1" t="b">
        <f t="shared" si="3"/>
        <v>1</v>
      </c>
      <c r="M22" s="1" t="b">
        <f t="shared" si="4"/>
        <v>0</v>
      </c>
      <c r="N22" s="1" t="b">
        <f t="shared" si="5"/>
        <v>0</v>
      </c>
      <c r="O22" s="1" t="b">
        <f t="shared" si="6"/>
        <v>0</v>
      </c>
      <c r="P22" s="1" t="b">
        <f t="shared" si="7"/>
        <v>1</v>
      </c>
      <c r="Q22" s="1" t="b">
        <f t="shared" si="8"/>
        <v>1</v>
      </c>
      <c r="R22" s="1" t="b">
        <f t="shared" si="9"/>
        <v>0</v>
      </c>
      <c r="S22" s="5">
        <f>Partidas!T22</f>
        <v>0</v>
      </c>
      <c r="T22" s="5">
        <f>Partidas!U22</f>
        <v>0</v>
      </c>
      <c r="U22" s="5">
        <f t="shared" si="10"/>
        <v>0</v>
      </c>
      <c r="V22" s="5" t="b">
        <f t="shared" si="11"/>
        <v>0</v>
      </c>
      <c r="W22" s="5" t="b">
        <f t="shared" si="12"/>
        <v>0</v>
      </c>
      <c r="X22" s="5">
        <f>Partidas!X22</f>
        <v>1</v>
      </c>
      <c r="Y22" s="5">
        <f>Partidas!Y22</f>
        <v>3</v>
      </c>
      <c r="Z22" s="5">
        <f>Partidas!AG22</f>
        <v>0</v>
      </c>
      <c r="AA22" s="5">
        <f>Partidas!AH22</f>
        <v>1</v>
      </c>
      <c r="AB22" s="5">
        <f t="shared" si="13"/>
        <v>5</v>
      </c>
      <c r="AC22" s="1" t="b">
        <f t="shared" si="14"/>
        <v>1</v>
      </c>
      <c r="AD22" s="1" t="b">
        <f t="shared" si="15"/>
        <v>1</v>
      </c>
      <c r="AE22" s="1" t="b">
        <f t="shared" si="16"/>
        <v>0</v>
      </c>
      <c r="AF22" s="1" t="str">
        <f>Partidas!W22</f>
        <v>dados_insuficientes</v>
      </c>
      <c r="AG22" s="1" t="str">
        <f>Partidas!AK22</f>
        <v>ok</v>
      </c>
      <c r="AH22" s="1" t="str">
        <f t="shared" si="17"/>
        <v>Fjelstul World Cup Database + FootyStats CSV</v>
      </c>
      <c r="AI22" s="1" t="str">
        <f>Partidas!AX22</f>
        <v>Escanteios por partida indisponiveis no CSV FootyStats desta edicao; nao preencher com estimativa.</v>
      </c>
    </row>
    <row r="23" spans="1:35" ht="15" customHeight="1">
      <c r="A23" s="1" t="str">
        <f>Partidas!C23</f>
        <v>M-2006-22</v>
      </c>
      <c r="B23" s="4">
        <f>Partidas!F23</f>
        <v>38884</v>
      </c>
      <c r="C23" s="1">
        <f>Partidas!A23</f>
        <v>2006</v>
      </c>
      <c r="D23" s="1" t="str">
        <f>Partidas!H23</f>
        <v>Netherlands</v>
      </c>
      <c r="E23" s="1" t="str">
        <f>Partidas!I23</f>
        <v>Ivory Coast</v>
      </c>
      <c r="F23" s="5">
        <f>Partidas!J23</f>
        <v>2</v>
      </c>
      <c r="G23" s="5">
        <f>Partidas!K23</f>
        <v>1</v>
      </c>
      <c r="H23" s="1" t="str">
        <f>Partidas!M23</f>
        <v>H</v>
      </c>
      <c r="I23" s="5">
        <f t="shared" si="0"/>
        <v>3</v>
      </c>
      <c r="J23" s="1" t="b">
        <f t="shared" si="1"/>
        <v>1</v>
      </c>
      <c r="K23" s="1" t="b">
        <f t="shared" si="2"/>
        <v>1</v>
      </c>
      <c r="L23" s="1" t="b">
        <f t="shared" si="3"/>
        <v>0</v>
      </c>
      <c r="M23" s="1" t="b">
        <f t="shared" si="4"/>
        <v>0</v>
      </c>
      <c r="N23" s="1" t="b">
        <f t="shared" si="5"/>
        <v>1</v>
      </c>
      <c r="O23" s="1" t="b">
        <f t="shared" si="6"/>
        <v>1</v>
      </c>
      <c r="P23" s="1" t="b">
        <f t="shared" si="7"/>
        <v>1</v>
      </c>
      <c r="Q23" s="1" t="b">
        <f t="shared" si="8"/>
        <v>1</v>
      </c>
      <c r="R23" s="1" t="b">
        <f t="shared" si="9"/>
        <v>0</v>
      </c>
      <c r="S23" s="5">
        <f>Partidas!T23</f>
        <v>0</v>
      </c>
      <c r="T23" s="5">
        <f>Partidas!U23</f>
        <v>0</v>
      </c>
      <c r="U23" s="5">
        <f t="shared" si="10"/>
        <v>0</v>
      </c>
      <c r="V23" s="5" t="b">
        <f t="shared" si="11"/>
        <v>0</v>
      </c>
      <c r="W23" s="5" t="b">
        <f t="shared" si="12"/>
        <v>0</v>
      </c>
      <c r="X23" s="5">
        <f>Partidas!X23</f>
        <v>4</v>
      </c>
      <c r="Y23" s="5">
        <f>Partidas!Y23</f>
        <v>3</v>
      </c>
      <c r="Z23" s="5">
        <f>Partidas!AG23</f>
        <v>0</v>
      </c>
      <c r="AA23" s="5">
        <f>Partidas!AH23</f>
        <v>0</v>
      </c>
      <c r="AB23" s="5">
        <f t="shared" si="13"/>
        <v>7</v>
      </c>
      <c r="AC23" s="1" t="b">
        <f t="shared" si="14"/>
        <v>1</v>
      </c>
      <c r="AD23" s="1" t="b">
        <f t="shared" si="15"/>
        <v>1</v>
      </c>
      <c r="AE23" s="1" t="b">
        <f t="shared" si="16"/>
        <v>1</v>
      </c>
      <c r="AF23" s="1" t="str">
        <f>Partidas!W23</f>
        <v>dados_insuficientes</v>
      </c>
      <c r="AG23" s="1" t="str">
        <f>Partidas!AK23</f>
        <v>ok</v>
      </c>
      <c r="AH23" s="1" t="str">
        <f t="shared" si="17"/>
        <v>Fjelstul World Cup Database + FootyStats CSV</v>
      </c>
      <c r="AI23" s="1" t="str">
        <f>Partidas!AX23</f>
        <v>Escanteios por partida indisponiveis no CSV FootyStats desta edicao; nao preencher com estimativa.</v>
      </c>
    </row>
    <row r="24" spans="1:35" ht="15" customHeight="1">
      <c r="A24" s="1" t="str">
        <f>Partidas!C24</f>
        <v>M-2006-23</v>
      </c>
      <c r="B24" s="4">
        <f>Partidas!F24</f>
        <v>38884</v>
      </c>
      <c r="C24" s="1">
        <f>Partidas!A24</f>
        <v>2006</v>
      </c>
      <c r="D24" s="1" t="str">
        <f>Partidas!H24</f>
        <v>Mexico</v>
      </c>
      <c r="E24" s="1" t="str">
        <f>Partidas!I24</f>
        <v>Angola</v>
      </c>
      <c r="F24" s="5">
        <f>Partidas!J24</f>
        <v>0</v>
      </c>
      <c r="G24" s="5">
        <f>Partidas!K24</f>
        <v>0</v>
      </c>
      <c r="H24" s="1" t="str">
        <f>Partidas!M24</f>
        <v>D</v>
      </c>
      <c r="I24" s="5">
        <f t="shared" si="0"/>
        <v>0</v>
      </c>
      <c r="J24" s="1" t="b">
        <f t="shared" si="1"/>
        <v>0</v>
      </c>
      <c r="K24" s="1" t="b">
        <f t="shared" si="2"/>
        <v>0</v>
      </c>
      <c r="L24" s="1" t="b">
        <f t="shared" si="3"/>
        <v>0</v>
      </c>
      <c r="M24" s="1" t="b">
        <f t="shared" si="4"/>
        <v>1</v>
      </c>
      <c r="N24" s="1" t="b">
        <f t="shared" si="5"/>
        <v>1</v>
      </c>
      <c r="O24" s="1" t="b">
        <f t="shared" si="6"/>
        <v>0</v>
      </c>
      <c r="P24" s="1" t="b">
        <f t="shared" si="7"/>
        <v>1</v>
      </c>
      <c r="Q24" s="1" t="b">
        <f t="shared" si="8"/>
        <v>0</v>
      </c>
      <c r="R24" s="1" t="b">
        <f t="shared" si="9"/>
        <v>1</v>
      </c>
      <c r="S24" s="5">
        <f>Partidas!T24</f>
        <v>0</v>
      </c>
      <c r="T24" s="5">
        <f>Partidas!U24</f>
        <v>0</v>
      </c>
      <c r="U24" s="5">
        <f t="shared" si="10"/>
        <v>0</v>
      </c>
      <c r="V24" s="5" t="b">
        <f t="shared" si="11"/>
        <v>0</v>
      </c>
      <c r="W24" s="5" t="b">
        <f t="shared" si="12"/>
        <v>0</v>
      </c>
      <c r="X24" s="5">
        <f>Partidas!X24</f>
        <v>1</v>
      </c>
      <c r="Y24" s="5">
        <f>Partidas!Y24</f>
        <v>4</v>
      </c>
      <c r="Z24" s="5">
        <f>Partidas!AG24</f>
        <v>0</v>
      </c>
      <c r="AA24" s="5">
        <f>Partidas!AH24</f>
        <v>1</v>
      </c>
      <c r="AB24" s="5">
        <f t="shared" si="13"/>
        <v>6</v>
      </c>
      <c r="AC24" s="1" t="b">
        <f t="shared" si="14"/>
        <v>1</v>
      </c>
      <c r="AD24" s="1" t="b">
        <f t="shared" si="15"/>
        <v>1</v>
      </c>
      <c r="AE24" s="1" t="b">
        <f t="shared" si="16"/>
        <v>1</v>
      </c>
      <c r="AF24" s="1" t="str">
        <f>Partidas!W24</f>
        <v>dados_insuficientes</v>
      </c>
      <c r="AG24" s="1" t="str">
        <f>Partidas!AK24</f>
        <v>ok</v>
      </c>
      <c r="AH24" s="1" t="str">
        <f t="shared" si="17"/>
        <v>Fjelstul World Cup Database + FootyStats CSV</v>
      </c>
      <c r="AI24" s="1" t="str">
        <f>Partidas!AX24</f>
        <v>Escanteios por partida indisponiveis no CSV FootyStats desta edicao; nao preencher com estimativa.</v>
      </c>
    </row>
    <row r="25" spans="1:35" ht="15" customHeight="1">
      <c r="A25" s="1" t="str">
        <f>Partidas!C25</f>
        <v>M-2006-24</v>
      </c>
      <c r="B25" s="4">
        <f>Partidas!F25</f>
        <v>38885</v>
      </c>
      <c r="C25" s="1">
        <f>Partidas!A25</f>
        <v>2006</v>
      </c>
      <c r="D25" s="1" t="str">
        <f>Partidas!H25</f>
        <v>Portugal</v>
      </c>
      <c r="E25" s="1" t="str">
        <f>Partidas!I25</f>
        <v>Iran</v>
      </c>
      <c r="F25" s="5">
        <f>Partidas!J25</f>
        <v>2</v>
      </c>
      <c r="G25" s="5">
        <f>Partidas!K25</f>
        <v>0</v>
      </c>
      <c r="H25" s="1" t="str">
        <f>Partidas!M25</f>
        <v>H</v>
      </c>
      <c r="I25" s="5">
        <f t="shared" si="0"/>
        <v>2</v>
      </c>
      <c r="J25" s="1" t="b">
        <f t="shared" si="1"/>
        <v>1</v>
      </c>
      <c r="K25" s="1" t="b">
        <f t="shared" si="2"/>
        <v>0</v>
      </c>
      <c r="L25" s="1" t="b">
        <f t="shared" si="3"/>
        <v>0</v>
      </c>
      <c r="M25" s="1" t="b">
        <f t="shared" si="4"/>
        <v>1</v>
      </c>
      <c r="N25" s="1" t="b">
        <f t="shared" si="5"/>
        <v>1</v>
      </c>
      <c r="O25" s="1" t="b">
        <f t="shared" si="6"/>
        <v>0</v>
      </c>
      <c r="P25" s="1" t="b">
        <f t="shared" si="7"/>
        <v>1</v>
      </c>
      <c r="Q25" s="1" t="b">
        <f t="shared" si="8"/>
        <v>1</v>
      </c>
      <c r="R25" s="1" t="b">
        <f t="shared" si="9"/>
        <v>0</v>
      </c>
      <c r="S25" s="5">
        <f>Partidas!T25</f>
        <v>0</v>
      </c>
      <c r="T25" s="5">
        <f>Partidas!U25</f>
        <v>0</v>
      </c>
      <c r="U25" s="5">
        <f t="shared" si="10"/>
        <v>0</v>
      </c>
      <c r="V25" s="5" t="b">
        <f t="shared" si="11"/>
        <v>0</v>
      </c>
      <c r="W25" s="5" t="b">
        <f t="shared" si="12"/>
        <v>0</v>
      </c>
      <c r="X25" s="5">
        <f>Partidas!X25</f>
        <v>3</v>
      </c>
      <c r="Y25" s="5">
        <f>Partidas!Y25</f>
        <v>4</v>
      </c>
      <c r="Z25" s="5">
        <f>Partidas!AG25</f>
        <v>0</v>
      </c>
      <c r="AA25" s="5">
        <f>Partidas!AH25</f>
        <v>0</v>
      </c>
      <c r="AB25" s="5">
        <f t="shared" si="13"/>
        <v>7</v>
      </c>
      <c r="AC25" s="1" t="b">
        <f t="shared" si="14"/>
        <v>1</v>
      </c>
      <c r="AD25" s="1" t="b">
        <f t="shared" si="15"/>
        <v>1</v>
      </c>
      <c r="AE25" s="1" t="b">
        <f t="shared" si="16"/>
        <v>1</v>
      </c>
      <c r="AF25" s="1" t="str">
        <f>Partidas!W25</f>
        <v>dados_insuficientes</v>
      </c>
      <c r="AG25" s="1" t="str">
        <f>Partidas!AK25</f>
        <v>ok</v>
      </c>
      <c r="AH25" s="1" t="str">
        <f t="shared" si="17"/>
        <v>Fjelstul World Cup Database + FootyStats CSV</v>
      </c>
      <c r="AI25" s="1" t="str">
        <f>Partidas!AX25</f>
        <v>Escanteios por partida indisponiveis no CSV FootyStats desta edicao; nao preencher com estimativa.</v>
      </c>
    </row>
    <row r="26" spans="1:35" ht="15" customHeight="1">
      <c r="A26" s="1" t="str">
        <f>Partidas!C26</f>
        <v>M-2006-25</v>
      </c>
      <c r="B26" s="4">
        <f>Partidas!F26</f>
        <v>38885</v>
      </c>
      <c r="C26" s="1">
        <f>Partidas!A26</f>
        <v>2006</v>
      </c>
      <c r="D26" s="1" t="str">
        <f>Partidas!H26</f>
        <v>Czech Republic</v>
      </c>
      <c r="E26" s="1" t="str">
        <f>Partidas!I26</f>
        <v>Ghana</v>
      </c>
      <c r="F26" s="5">
        <f>Partidas!J26</f>
        <v>0</v>
      </c>
      <c r="G26" s="5">
        <f>Partidas!K26</f>
        <v>2</v>
      </c>
      <c r="H26" s="1" t="str">
        <f>Partidas!M26</f>
        <v>A</v>
      </c>
      <c r="I26" s="5">
        <f t="shared" si="0"/>
        <v>2</v>
      </c>
      <c r="J26" s="1" t="b">
        <f t="shared" si="1"/>
        <v>1</v>
      </c>
      <c r="K26" s="1" t="b">
        <f t="shared" si="2"/>
        <v>0</v>
      </c>
      <c r="L26" s="1" t="b">
        <f t="shared" si="3"/>
        <v>0</v>
      </c>
      <c r="M26" s="1" t="b">
        <f t="shared" si="4"/>
        <v>1</v>
      </c>
      <c r="N26" s="1" t="b">
        <f t="shared" si="5"/>
        <v>1</v>
      </c>
      <c r="O26" s="1" t="b">
        <f t="shared" si="6"/>
        <v>0</v>
      </c>
      <c r="P26" s="1" t="b">
        <f t="shared" si="7"/>
        <v>0</v>
      </c>
      <c r="Q26" s="1" t="b">
        <f t="shared" si="8"/>
        <v>1</v>
      </c>
      <c r="R26" s="1" t="b">
        <f t="shared" si="9"/>
        <v>1</v>
      </c>
      <c r="S26" s="5">
        <f>Partidas!T26</f>
        <v>0</v>
      </c>
      <c r="T26" s="5">
        <f>Partidas!U26</f>
        <v>0</v>
      </c>
      <c r="U26" s="5">
        <f t="shared" si="10"/>
        <v>0</v>
      </c>
      <c r="V26" s="5" t="b">
        <f t="shared" si="11"/>
        <v>0</v>
      </c>
      <c r="W26" s="5" t="b">
        <f t="shared" si="12"/>
        <v>0</v>
      </c>
      <c r="X26" s="5">
        <f>Partidas!X26</f>
        <v>1</v>
      </c>
      <c r="Y26" s="5">
        <f>Partidas!Y26</f>
        <v>6</v>
      </c>
      <c r="Z26" s="5">
        <f>Partidas!AG26</f>
        <v>1</v>
      </c>
      <c r="AA26" s="5">
        <f>Partidas!AH26</f>
        <v>0</v>
      </c>
      <c r="AB26" s="5">
        <f t="shared" si="13"/>
        <v>8</v>
      </c>
      <c r="AC26" s="1" t="b">
        <f t="shared" si="14"/>
        <v>1</v>
      </c>
      <c r="AD26" s="1" t="b">
        <f t="shared" si="15"/>
        <v>1</v>
      </c>
      <c r="AE26" s="1" t="b">
        <f t="shared" si="16"/>
        <v>1</v>
      </c>
      <c r="AF26" s="1" t="str">
        <f>Partidas!W26</f>
        <v>dados_insuficientes</v>
      </c>
      <c r="AG26" s="1" t="str">
        <f>Partidas!AK26</f>
        <v>ok</v>
      </c>
      <c r="AH26" s="1" t="str">
        <f t="shared" si="17"/>
        <v>Fjelstul World Cup Database + FootyStats CSV</v>
      </c>
      <c r="AI26" s="1" t="str">
        <f>Partidas!AX26</f>
        <v>Escanteios por partida indisponiveis no CSV FootyStats desta edicao; nao preencher com estimativa.</v>
      </c>
    </row>
    <row r="27" spans="1:35" ht="15" customHeight="1">
      <c r="A27" s="1" t="str">
        <f>Partidas!C27</f>
        <v>M-2006-26</v>
      </c>
      <c r="B27" s="4">
        <f>Partidas!F27</f>
        <v>38885</v>
      </c>
      <c r="C27" s="1">
        <f>Partidas!A27</f>
        <v>2006</v>
      </c>
      <c r="D27" s="1" t="str">
        <f>Partidas!H27</f>
        <v>Italy</v>
      </c>
      <c r="E27" s="1" t="str">
        <f>Partidas!I27</f>
        <v>United States</v>
      </c>
      <c r="F27" s="5">
        <f>Partidas!J27</f>
        <v>1</v>
      </c>
      <c r="G27" s="5">
        <f>Partidas!K27</f>
        <v>1</v>
      </c>
      <c r="H27" s="1" t="str">
        <f>Partidas!M27</f>
        <v>D</v>
      </c>
      <c r="I27" s="5">
        <f t="shared" si="0"/>
        <v>2</v>
      </c>
      <c r="J27" s="1" t="b">
        <f t="shared" si="1"/>
        <v>1</v>
      </c>
      <c r="K27" s="1" t="b">
        <f t="shared" si="2"/>
        <v>0</v>
      </c>
      <c r="L27" s="1" t="b">
        <f t="shared" si="3"/>
        <v>0</v>
      </c>
      <c r="M27" s="1" t="b">
        <f t="shared" si="4"/>
        <v>1</v>
      </c>
      <c r="N27" s="1" t="b">
        <f t="shared" si="5"/>
        <v>1</v>
      </c>
      <c r="O27" s="1" t="b">
        <f t="shared" si="6"/>
        <v>1</v>
      </c>
      <c r="P27" s="1" t="b">
        <f t="shared" si="7"/>
        <v>1</v>
      </c>
      <c r="Q27" s="1" t="b">
        <f t="shared" si="8"/>
        <v>0</v>
      </c>
      <c r="R27" s="1" t="b">
        <f t="shared" si="9"/>
        <v>1</v>
      </c>
      <c r="S27" s="5">
        <f>Partidas!T27</f>
        <v>0</v>
      </c>
      <c r="T27" s="5">
        <f>Partidas!U27</f>
        <v>0</v>
      </c>
      <c r="U27" s="5">
        <f t="shared" si="10"/>
        <v>0</v>
      </c>
      <c r="V27" s="5" t="b">
        <f t="shared" si="11"/>
        <v>0</v>
      </c>
      <c r="W27" s="5" t="b">
        <f t="shared" si="12"/>
        <v>0</v>
      </c>
      <c r="X27" s="5">
        <f>Partidas!X27</f>
        <v>2</v>
      </c>
      <c r="Y27" s="5">
        <f>Partidas!Y27</f>
        <v>1</v>
      </c>
      <c r="Z27" s="5">
        <f>Partidas!AG27</f>
        <v>1</v>
      </c>
      <c r="AA27" s="5">
        <f>Partidas!AH27</f>
        <v>2</v>
      </c>
      <c r="AB27" s="5">
        <f t="shared" si="13"/>
        <v>6</v>
      </c>
      <c r="AC27" s="1" t="b">
        <f t="shared" si="14"/>
        <v>1</v>
      </c>
      <c r="AD27" s="1" t="b">
        <f t="shared" si="15"/>
        <v>1</v>
      </c>
      <c r="AE27" s="1" t="b">
        <f t="shared" si="16"/>
        <v>1</v>
      </c>
      <c r="AF27" s="1" t="str">
        <f>Partidas!W27</f>
        <v>dados_insuficientes</v>
      </c>
      <c r="AG27" s="1" t="str">
        <f>Partidas!AK27</f>
        <v>ok</v>
      </c>
      <c r="AH27" s="1" t="str">
        <f t="shared" si="17"/>
        <v>Fjelstul World Cup Database + FootyStats CSV</v>
      </c>
      <c r="AI27" s="1" t="str">
        <f>Partidas!AX27</f>
        <v>Escanteios por partida indisponiveis no CSV FootyStats desta edicao; nao preencher com estimativa.</v>
      </c>
    </row>
    <row r="28" spans="1:35" ht="15" customHeight="1">
      <c r="A28" s="1" t="str">
        <f>Partidas!C28</f>
        <v>M-2006-27</v>
      </c>
      <c r="B28" s="4">
        <f>Partidas!F28</f>
        <v>38886</v>
      </c>
      <c r="C28" s="1">
        <f>Partidas!A28</f>
        <v>2006</v>
      </c>
      <c r="D28" s="1" t="str">
        <f>Partidas!H28</f>
        <v>Japan</v>
      </c>
      <c r="E28" s="1" t="str">
        <f>Partidas!I28</f>
        <v>Croatia</v>
      </c>
      <c r="F28" s="5">
        <f>Partidas!J28</f>
        <v>0</v>
      </c>
      <c r="G28" s="5">
        <f>Partidas!K28</f>
        <v>0</v>
      </c>
      <c r="H28" s="1" t="str">
        <f>Partidas!M28</f>
        <v>D</v>
      </c>
      <c r="I28" s="5">
        <f t="shared" si="0"/>
        <v>0</v>
      </c>
      <c r="J28" s="1" t="b">
        <f t="shared" si="1"/>
        <v>0</v>
      </c>
      <c r="K28" s="1" t="b">
        <f t="shared" si="2"/>
        <v>0</v>
      </c>
      <c r="L28" s="1" t="b">
        <f t="shared" si="3"/>
        <v>0</v>
      </c>
      <c r="M28" s="1" t="b">
        <f t="shared" si="4"/>
        <v>1</v>
      </c>
      <c r="N28" s="1" t="b">
        <f t="shared" si="5"/>
        <v>1</v>
      </c>
      <c r="O28" s="1" t="b">
        <f t="shared" si="6"/>
        <v>0</v>
      </c>
      <c r="P28" s="1" t="b">
        <f t="shared" si="7"/>
        <v>1</v>
      </c>
      <c r="Q28" s="1" t="b">
        <f t="shared" si="8"/>
        <v>0</v>
      </c>
      <c r="R28" s="1" t="b">
        <f t="shared" si="9"/>
        <v>1</v>
      </c>
      <c r="S28" s="5">
        <f>Partidas!T28</f>
        <v>0</v>
      </c>
      <c r="T28" s="5">
        <f>Partidas!U28</f>
        <v>0</v>
      </c>
      <c r="U28" s="5">
        <f t="shared" si="10"/>
        <v>0</v>
      </c>
      <c r="V28" s="5" t="b">
        <f t="shared" si="11"/>
        <v>0</v>
      </c>
      <c r="W28" s="5" t="b">
        <f t="shared" si="12"/>
        <v>0</v>
      </c>
      <c r="X28" s="5">
        <f>Partidas!X28</f>
        <v>3</v>
      </c>
      <c r="Y28" s="5">
        <f>Partidas!Y28</f>
        <v>2</v>
      </c>
      <c r="Z28" s="5">
        <f>Partidas!AG28</f>
        <v>0</v>
      </c>
      <c r="AA28" s="5">
        <f>Partidas!AH28</f>
        <v>0</v>
      </c>
      <c r="AB28" s="5">
        <f t="shared" si="13"/>
        <v>5</v>
      </c>
      <c r="AC28" s="1" t="b">
        <f t="shared" si="14"/>
        <v>1</v>
      </c>
      <c r="AD28" s="1" t="b">
        <f t="shared" si="15"/>
        <v>1</v>
      </c>
      <c r="AE28" s="1" t="b">
        <f t="shared" si="16"/>
        <v>0</v>
      </c>
      <c r="AF28" s="1" t="str">
        <f>Partidas!W28</f>
        <v>dados_insuficientes</v>
      </c>
      <c r="AG28" s="1" t="str">
        <f>Partidas!AK28</f>
        <v>ok</v>
      </c>
      <c r="AH28" s="1" t="str">
        <f t="shared" si="17"/>
        <v>Fjelstul World Cup Database + FootyStats CSV</v>
      </c>
      <c r="AI28" s="1" t="str">
        <f>Partidas!AX28</f>
        <v>Escanteios por partida indisponiveis no CSV FootyStats desta edicao; nao preencher com estimativa.</v>
      </c>
    </row>
    <row r="29" spans="1:35" ht="15" customHeight="1">
      <c r="A29" s="1" t="str">
        <f>Partidas!C29</f>
        <v>M-2006-28</v>
      </c>
      <c r="B29" s="4">
        <f>Partidas!F29</f>
        <v>38886</v>
      </c>
      <c r="C29" s="1">
        <f>Partidas!A29</f>
        <v>2006</v>
      </c>
      <c r="D29" s="1" t="str">
        <f>Partidas!H29</f>
        <v>Brazil</v>
      </c>
      <c r="E29" s="1" t="str">
        <f>Partidas!I29</f>
        <v>Australia</v>
      </c>
      <c r="F29" s="5">
        <f>Partidas!J29</f>
        <v>2</v>
      </c>
      <c r="G29" s="5">
        <f>Partidas!K29</f>
        <v>0</v>
      </c>
      <c r="H29" s="1" t="str">
        <f>Partidas!M29</f>
        <v>H</v>
      </c>
      <c r="I29" s="5">
        <f t="shared" si="0"/>
        <v>2</v>
      </c>
      <c r="J29" s="1" t="b">
        <f t="shared" si="1"/>
        <v>1</v>
      </c>
      <c r="K29" s="1" t="b">
        <f t="shared" si="2"/>
        <v>0</v>
      </c>
      <c r="L29" s="1" t="b">
        <f t="shared" si="3"/>
        <v>0</v>
      </c>
      <c r="M29" s="1" t="b">
        <f t="shared" si="4"/>
        <v>1</v>
      </c>
      <c r="N29" s="1" t="b">
        <f t="shared" si="5"/>
        <v>1</v>
      </c>
      <c r="O29" s="1" t="b">
        <f t="shared" si="6"/>
        <v>0</v>
      </c>
      <c r="P29" s="1" t="b">
        <f t="shared" si="7"/>
        <v>1</v>
      </c>
      <c r="Q29" s="1" t="b">
        <f t="shared" si="8"/>
        <v>1</v>
      </c>
      <c r="R29" s="1" t="b">
        <f t="shared" si="9"/>
        <v>0</v>
      </c>
      <c r="S29" s="5">
        <f>Partidas!T29</f>
        <v>0</v>
      </c>
      <c r="T29" s="5">
        <f>Partidas!U29</f>
        <v>0</v>
      </c>
      <c r="U29" s="5">
        <f t="shared" si="10"/>
        <v>0</v>
      </c>
      <c r="V29" s="5" t="b">
        <f t="shared" si="11"/>
        <v>0</v>
      </c>
      <c r="W29" s="5" t="b">
        <f t="shared" si="12"/>
        <v>0</v>
      </c>
      <c r="X29" s="5">
        <f>Partidas!X29</f>
        <v>3</v>
      </c>
      <c r="Y29" s="5">
        <f>Partidas!Y29</f>
        <v>2</v>
      </c>
      <c r="Z29" s="5">
        <f>Partidas!AG29</f>
        <v>0</v>
      </c>
      <c r="AA29" s="5">
        <f>Partidas!AH29</f>
        <v>0</v>
      </c>
      <c r="AB29" s="5">
        <f t="shared" si="13"/>
        <v>5</v>
      </c>
      <c r="AC29" s="1" t="b">
        <f t="shared" si="14"/>
        <v>1</v>
      </c>
      <c r="AD29" s="1" t="b">
        <f t="shared" si="15"/>
        <v>1</v>
      </c>
      <c r="AE29" s="1" t="b">
        <f t="shared" si="16"/>
        <v>0</v>
      </c>
      <c r="AF29" s="1" t="str">
        <f>Partidas!W29</f>
        <v>dados_insuficientes</v>
      </c>
      <c r="AG29" s="1" t="str">
        <f>Partidas!AK29</f>
        <v>ok</v>
      </c>
      <c r="AH29" s="1" t="str">
        <f t="shared" si="17"/>
        <v>Fjelstul World Cup Database + FootyStats CSV</v>
      </c>
      <c r="AI29" s="1" t="str">
        <f>Partidas!AX29</f>
        <v>Escanteios por partida indisponiveis no CSV FootyStats desta edicao; nao preencher com estimativa.</v>
      </c>
    </row>
    <row r="30" spans="1:35" ht="15" customHeight="1">
      <c r="A30" s="1" t="str">
        <f>Partidas!C30</f>
        <v>M-2006-29</v>
      </c>
      <c r="B30" s="4">
        <f>Partidas!F30</f>
        <v>38886</v>
      </c>
      <c r="C30" s="1">
        <f>Partidas!A30</f>
        <v>2006</v>
      </c>
      <c r="D30" s="1" t="str">
        <f>Partidas!H30</f>
        <v>France</v>
      </c>
      <c r="E30" s="1" t="str">
        <f>Partidas!I30</f>
        <v>South Korea</v>
      </c>
      <c r="F30" s="5">
        <f>Partidas!J30</f>
        <v>1</v>
      </c>
      <c r="G30" s="5">
        <f>Partidas!K30</f>
        <v>1</v>
      </c>
      <c r="H30" s="1" t="str">
        <f>Partidas!M30</f>
        <v>D</v>
      </c>
      <c r="I30" s="5">
        <f t="shared" si="0"/>
        <v>2</v>
      </c>
      <c r="J30" s="1" t="b">
        <f t="shared" si="1"/>
        <v>1</v>
      </c>
      <c r="K30" s="1" t="b">
        <f t="shared" si="2"/>
        <v>0</v>
      </c>
      <c r="L30" s="1" t="b">
        <f t="shared" si="3"/>
        <v>0</v>
      </c>
      <c r="M30" s="1" t="b">
        <f t="shared" si="4"/>
        <v>1</v>
      </c>
      <c r="N30" s="1" t="b">
        <f t="shared" si="5"/>
        <v>1</v>
      </c>
      <c r="O30" s="1" t="b">
        <f t="shared" si="6"/>
        <v>1</v>
      </c>
      <c r="P30" s="1" t="b">
        <f t="shared" si="7"/>
        <v>1</v>
      </c>
      <c r="Q30" s="1" t="b">
        <f t="shared" si="8"/>
        <v>0</v>
      </c>
      <c r="R30" s="1" t="b">
        <f t="shared" si="9"/>
        <v>1</v>
      </c>
      <c r="S30" s="5">
        <f>Partidas!T30</f>
        <v>0</v>
      </c>
      <c r="T30" s="5">
        <f>Partidas!U30</f>
        <v>0</v>
      </c>
      <c r="U30" s="5">
        <f t="shared" si="10"/>
        <v>0</v>
      </c>
      <c r="V30" s="5" t="b">
        <f t="shared" si="11"/>
        <v>0</v>
      </c>
      <c r="W30" s="5" t="b">
        <f t="shared" si="12"/>
        <v>0</v>
      </c>
      <c r="X30" s="5">
        <f>Partidas!X30</f>
        <v>2</v>
      </c>
      <c r="Y30" s="5">
        <f>Partidas!Y30</f>
        <v>2</v>
      </c>
      <c r="Z30" s="5">
        <f>Partidas!AG30</f>
        <v>0</v>
      </c>
      <c r="AA30" s="5">
        <f>Partidas!AH30</f>
        <v>0</v>
      </c>
      <c r="AB30" s="5">
        <f t="shared" si="13"/>
        <v>4</v>
      </c>
      <c r="AC30" s="1" t="b">
        <f t="shared" si="14"/>
        <v>1</v>
      </c>
      <c r="AD30" s="1" t="b">
        <f t="shared" si="15"/>
        <v>0</v>
      </c>
      <c r="AE30" s="1" t="b">
        <f t="shared" si="16"/>
        <v>0</v>
      </c>
      <c r="AF30" s="1" t="str">
        <f>Partidas!W30</f>
        <v>dados_insuficientes</v>
      </c>
      <c r="AG30" s="1" t="str">
        <f>Partidas!AK30</f>
        <v>ok</v>
      </c>
      <c r="AH30" s="1" t="str">
        <f t="shared" si="17"/>
        <v>Fjelstul World Cup Database + FootyStats CSV</v>
      </c>
      <c r="AI30" s="1" t="str">
        <f>Partidas!AX30</f>
        <v>Escanteios por partida indisponiveis no CSV FootyStats desta edicao; nao preencher com estimativa.</v>
      </c>
    </row>
    <row r="31" spans="1:35" ht="15" customHeight="1">
      <c r="A31" s="1" t="str">
        <f>Partidas!C31</f>
        <v>M-2006-30</v>
      </c>
      <c r="B31" s="4">
        <f>Partidas!F31</f>
        <v>38887</v>
      </c>
      <c r="C31" s="1">
        <f>Partidas!A31</f>
        <v>2006</v>
      </c>
      <c r="D31" s="1" t="str">
        <f>Partidas!H31</f>
        <v>Togo</v>
      </c>
      <c r="E31" s="1" t="str">
        <f>Partidas!I31</f>
        <v>Switzerland</v>
      </c>
      <c r="F31" s="5">
        <f>Partidas!J31</f>
        <v>0</v>
      </c>
      <c r="G31" s="5">
        <f>Partidas!K31</f>
        <v>2</v>
      </c>
      <c r="H31" s="1" t="str">
        <f>Partidas!M31</f>
        <v>A</v>
      </c>
      <c r="I31" s="5">
        <f t="shared" si="0"/>
        <v>2</v>
      </c>
      <c r="J31" s="1" t="b">
        <f t="shared" si="1"/>
        <v>1</v>
      </c>
      <c r="K31" s="1" t="b">
        <f t="shared" si="2"/>
        <v>0</v>
      </c>
      <c r="L31" s="1" t="b">
        <f t="shared" si="3"/>
        <v>0</v>
      </c>
      <c r="M31" s="1" t="b">
        <f t="shared" si="4"/>
        <v>1</v>
      </c>
      <c r="N31" s="1" t="b">
        <f t="shared" si="5"/>
        <v>1</v>
      </c>
      <c r="O31" s="1" t="b">
        <f t="shared" si="6"/>
        <v>0</v>
      </c>
      <c r="P31" s="1" t="b">
        <f t="shared" si="7"/>
        <v>0</v>
      </c>
      <c r="Q31" s="1" t="b">
        <f t="shared" si="8"/>
        <v>1</v>
      </c>
      <c r="R31" s="1" t="b">
        <f t="shared" si="9"/>
        <v>1</v>
      </c>
      <c r="S31" s="5">
        <f>Partidas!T31</f>
        <v>0</v>
      </c>
      <c r="T31" s="5">
        <f>Partidas!U31</f>
        <v>0</v>
      </c>
      <c r="U31" s="5">
        <f t="shared" si="10"/>
        <v>0</v>
      </c>
      <c r="V31" s="5" t="b">
        <f t="shared" si="11"/>
        <v>0</v>
      </c>
      <c r="W31" s="5" t="b">
        <f t="shared" si="12"/>
        <v>0</v>
      </c>
      <c r="X31" s="5">
        <f>Partidas!X31</f>
        <v>3</v>
      </c>
      <c r="Y31" s="5">
        <f>Partidas!Y31</f>
        <v>1</v>
      </c>
      <c r="Z31" s="5">
        <f>Partidas!AG31</f>
        <v>0</v>
      </c>
      <c r="AA31" s="5">
        <f>Partidas!AH31</f>
        <v>0</v>
      </c>
      <c r="AB31" s="5">
        <f t="shared" si="13"/>
        <v>4</v>
      </c>
      <c r="AC31" s="1" t="b">
        <f t="shared" si="14"/>
        <v>1</v>
      </c>
      <c r="AD31" s="1" t="b">
        <f t="shared" si="15"/>
        <v>0</v>
      </c>
      <c r="AE31" s="1" t="b">
        <f t="shared" si="16"/>
        <v>0</v>
      </c>
      <c r="AF31" s="1" t="str">
        <f>Partidas!W31</f>
        <v>dados_insuficientes</v>
      </c>
      <c r="AG31" s="1" t="str">
        <f>Partidas!AK31</f>
        <v>ok</v>
      </c>
      <c r="AH31" s="1" t="str">
        <f t="shared" si="17"/>
        <v>Fjelstul World Cup Database + FootyStats CSV</v>
      </c>
      <c r="AI31" s="1" t="str">
        <f>Partidas!AX31</f>
        <v>Escanteios por partida indisponiveis no CSV FootyStats desta edicao; nao preencher com estimativa.</v>
      </c>
    </row>
    <row r="32" spans="1:35" ht="15" customHeight="1">
      <c r="A32" s="1" t="str">
        <f>Partidas!C32</f>
        <v>M-2006-31</v>
      </c>
      <c r="B32" s="4">
        <f>Partidas!F32</f>
        <v>38887</v>
      </c>
      <c r="C32" s="1">
        <f>Partidas!A32</f>
        <v>2006</v>
      </c>
      <c r="D32" s="1" t="str">
        <f>Partidas!H32</f>
        <v>Saudi Arabia</v>
      </c>
      <c r="E32" s="1" t="str">
        <f>Partidas!I32</f>
        <v>Ukraine</v>
      </c>
      <c r="F32" s="5">
        <f>Partidas!J32</f>
        <v>0</v>
      </c>
      <c r="G32" s="5">
        <f>Partidas!K32</f>
        <v>4</v>
      </c>
      <c r="H32" s="1" t="str">
        <f>Partidas!M32</f>
        <v>A</v>
      </c>
      <c r="I32" s="5">
        <f t="shared" si="0"/>
        <v>4</v>
      </c>
      <c r="J32" s="1" t="b">
        <f t="shared" si="1"/>
        <v>1</v>
      </c>
      <c r="K32" s="1" t="b">
        <f t="shared" si="2"/>
        <v>1</v>
      </c>
      <c r="L32" s="1" t="b">
        <f t="shared" si="3"/>
        <v>1</v>
      </c>
      <c r="M32" s="1" t="b">
        <f t="shared" si="4"/>
        <v>0</v>
      </c>
      <c r="N32" s="1" t="b">
        <f t="shared" si="5"/>
        <v>0</v>
      </c>
      <c r="O32" s="1" t="b">
        <f t="shared" si="6"/>
        <v>0</v>
      </c>
      <c r="P32" s="1" t="b">
        <f t="shared" si="7"/>
        <v>0</v>
      </c>
      <c r="Q32" s="1" t="b">
        <f t="shared" si="8"/>
        <v>1</v>
      </c>
      <c r="R32" s="1" t="b">
        <f t="shared" si="9"/>
        <v>1</v>
      </c>
      <c r="S32" s="5">
        <f>Partidas!T32</f>
        <v>0</v>
      </c>
      <c r="T32" s="5">
        <f>Partidas!U32</f>
        <v>0</v>
      </c>
      <c r="U32" s="5">
        <f t="shared" si="10"/>
        <v>0</v>
      </c>
      <c r="V32" s="5" t="b">
        <f t="shared" si="11"/>
        <v>0</v>
      </c>
      <c r="W32" s="5" t="b">
        <f t="shared" si="12"/>
        <v>0</v>
      </c>
      <c r="X32" s="5">
        <f>Partidas!X32</f>
        <v>3</v>
      </c>
      <c r="Y32" s="5">
        <f>Partidas!Y32</f>
        <v>3</v>
      </c>
      <c r="Z32" s="5">
        <f>Partidas!AG32</f>
        <v>0</v>
      </c>
      <c r="AA32" s="5">
        <f>Partidas!AH32</f>
        <v>0</v>
      </c>
      <c r="AB32" s="5">
        <f t="shared" si="13"/>
        <v>6</v>
      </c>
      <c r="AC32" s="1" t="b">
        <f t="shared" si="14"/>
        <v>1</v>
      </c>
      <c r="AD32" s="1" t="b">
        <f t="shared" si="15"/>
        <v>1</v>
      </c>
      <c r="AE32" s="1" t="b">
        <f t="shared" si="16"/>
        <v>1</v>
      </c>
      <c r="AF32" s="1" t="str">
        <f>Partidas!W32</f>
        <v>dados_insuficientes</v>
      </c>
      <c r="AG32" s="1" t="str">
        <f>Partidas!AK32</f>
        <v>ok</v>
      </c>
      <c r="AH32" s="1" t="str">
        <f t="shared" si="17"/>
        <v>Fjelstul World Cup Database + FootyStats CSV</v>
      </c>
      <c r="AI32" s="1" t="str">
        <f>Partidas!AX32</f>
        <v>Escanteios por partida indisponiveis no CSV FootyStats desta edicao; nao preencher com estimativa.</v>
      </c>
    </row>
    <row r="33" spans="1:35" ht="15" customHeight="1">
      <c r="A33" s="1" t="str">
        <f>Partidas!C33</f>
        <v>M-2006-32</v>
      </c>
      <c r="B33" s="4">
        <f>Partidas!F33</f>
        <v>38887</v>
      </c>
      <c r="C33" s="1">
        <f>Partidas!A33</f>
        <v>2006</v>
      </c>
      <c r="D33" s="1" t="str">
        <f>Partidas!H33</f>
        <v>Spain</v>
      </c>
      <c r="E33" s="1" t="str">
        <f>Partidas!I33</f>
        <v>Tunisia</v>
      </c>
      <c r="F33" s="5">
        <f>Partidas!J33</f>
        <v>3</v>
      </c>
      <c r="G33" s="5">
        <f>Partidas!K33</f>
        <v>1</v>
      </c>
      <c r="H33" s="1" t="str">
        <f>Partidas!M33</f>
        <v>H</v>
      </c>
      <c r="I33" s="5">
        <f t="shared" si="0"/>
        <v>4</v>
      </c>
      <c r="J33" s="1" t="b">
        <f t="shared" si="1"/>
        <v>1</v>
      </c>
      <c r="K33" s="1" t="b">
        <f t="shared" si="2"/>
        <v>1</v>
      </c>
      <c r="L33" s="1" t="b">
        <f t="shared" si="3"/>
        <v>1</v>
      </c>
      <c r="M33" s="1" t="b">
        <f t="shared" si="4"/>
        <v>0</v>
      </c>
      <c r="N33" s="1" t="b">
        <f t="shared" si="5"/>
        <v>0</v>
      </c>
      <c r="O33" s="1" t="b">
        <f t="shared" si="6"/>
        <v>1</v>
      </c>
      <c r="P33" s="1" t="b">
        <f t="shared" si="7"/>
        <v>1</v>
      </c>
      <c r="Q33" s="1" t="b">
        <f t="shared" si="8"/>
        <v>1</v>
      </c>
      <c r="R33" s="1" t="b">
        <f t="shared" si="9"/>
        <v>0</v>
      </c>
      <c r="S33" s="5">
        <f>Partidas!T33</f>
        <v>0</v>
      </c>
      <c r="T33" s="5">
        <f>Partidas!U33</f>
        <v>0</v>
      </c>
      <c r="U33" s="5">
        <f t="shared" si="10"/>
        <v>0</v>
      </c>
      <c r="V33" s="5" t="b">
        <f t="shared" si="11"/>
        <v>0</v>
      </c>
      <c r="W33" s="5" t="b">
        <f t="shared" si="12"/>
        <v>0</v>
      </c>
      <c r="X33" s="5">
        <f>Partidas!X33</f>
        <v>2</v>
      </c>
      <c r="Y33" s="5">
        <f>Partidas!Y33</f>
        <v>6</v>
      </c>
      <c r="Z33" s="5">
        <f>Partidas!AG33</f>
        <v>0</v>
      </c>
      <c r="AA33" s="5">
        <f>Partidas!AH33</f>
        <v>0</v>
      </c>
      <c r="AB33" s="5">
        <f t="shared" si="13"/>
        <v>8</v>
      </c>
      <c r="AC33" s="1" t="b">
        <f t="shared" si="14"/>
        <v>1</v>
      </c>
      <c r="AD33" s="1" t="b">
        <f t="shared" si="15"/>
        <v>1</v>
      </c>
      <c r="AE33" s="1" t="b">
        <f t="shared" si="16"/>
        <v>1</v>
      </c>
      <c r="AF33" s="1" t="str">
        <f>Partidas!W33</f>
        <v>dados_insuficientes</v>
      </c>
      <c r="AG33" s="1" t="str">
        <f>Partidas!AK33</f>
        <v>ok</v>
      </c>
      <c r="AH33" s="1" t="str">
        <f t="shared" si="17"/>
        <v>Fjelstul World Cup Database + FootyStats CSV</v>
      </c>
      <c r="AI33" s="1" t="str">
        <f>Partidas!AX33</f>
        <v>Escanteios por partida indisponiveis no CSV FootyStats desta edicao; nao preencher com estimativa.</v>
      </c>
    </row>
    <row r="34" spans="1:35" ht="15" customHeight="1">
      <c r="A34" s="1" t="str">
        <f>Partidas!C34</f>
        <v>M-2006-33</v>
      </c>
      <c r="B34" s="4">
        <f>Partidas!F34</f>
        <v>38888</v>
      </c>
      <c r="C34" s="1">
        <f>Partidas!A34</f>
        <v>2006</v>
      </c>
      <c r="D34" s="1" t="str">
        <f>Partidas!H34</f>
        <v>Costa Rica</v>
      </c>
      <c r="E34" s="1" t="str">
        <f>Partidas!I34</f>
        <v>Poland</v>
      </c>
      <c r="F34" s="5">
        <f>Partidas!J34</f>
        <v>1</v>
      </c>
      <c r="G34" s="5">
        <f>Partidas!K34</f>
        <v>2</v>
      </c>
      <c r="H34" s="1" t="str">
        <f>Partidas!M34</f>
        <v>A</v>
      </c>
      <c r="I34" s="5">
        <f t="shared" si="0"/>
        <v>3</v>
      </c>
      <c r="J34" s="1" t="b">
        <f t="shared" si="1"/>
        <v>1</v>
      </c>
      <c r="K34" s="1" t="b">
        <f t="shared" si="2"/>
        <v>1</v>
      </c>
      <c r="L34" s="1" t="b">
        <f t="shared" si="3"/>
        <v>0</v>
      </c>
      <c r="M34" s="1" t="b">
        <f t="shared" si="4"/>
        <v>0</v>
      </c>
      <c r="N34" s="1" t="b">
        <f t="shared" si="5"/>
        <v>1</v>
      </c>
      <c r="O34" s="1" t="b">
        <f t="shared" si="6"/>
        <v>1</v>
      </c>
      <c r="P34" s="1" t="b">
        <f t="shared" si="7"/>
        <v>0</v>
      </c>
      <c r="Q34" s="1" t="b">
        <f t="shared" si="8"/>
        <v>1</v>
      </c>
      <c r="R34" s="1" t="b">
        <f t="shared" si="9"/>
        <v>1</v>
      </c>
      <c r="S34" s="5">
        <f>Partidas!T34</f>
        <v>0</v>
      </c>
      <c r="T34" s="5">
        <f>Partidas!U34</f>
        <v>0</v>
      </c>
      <c r="U34" s="5">
        <f t="shared" si="10"/>
        <v>0</v>
      </c>
      <c r="V34" s="5" t="b">
        <f t="shared" si="11"/>
        <v>0</v>
      </c>
      <c r="W34" s="5" t="b">
        <f t="shared" si="12"/>
        <v>0</v>
      </c>
      <c r="X34" s="5">
        <f>Partidas!X34</f>
        <v>5</v>
      </c>
      <c r="Y34" s="5">
        <f>Partidas!Y34</f>
        <v>5</v>
      </c>
      <c r="Z34" s="5">
        <f>Partidas!AG34</f>
        <v>0</v>
      </c>
      <c r="AA34" s="5">
        <f>Partidas!AH34</f>
        <v>0</v>
      </c>
      <c r="AB34" s="5">
        <f t="shared" si="13"/>
        <v>10</v>
      </c>
      <c r="AC34" s="1" t="b">
        <f t="shared" si="14"/>
        <v>1</v>
      </c>
      <c r="AD34" s="1" t="b">
        <f t="shared" si="15"/>
        <v>1</v>
      </c>
      <c r="AE34" s="1" t="b">
        <f t="shared" si="16"/>
        <v>1</v>
      </c>
      <c r="AF34" s="1" t="str">
        <f>Partidas!W34</f>
        <v>dados_insuficientes</v>
      </c>
      <c r="AG34" s="1" t="str">
        <f>Partidas!AK34</f>
        <v>ok</v>
      </c>
      <c r="AH34" s="1" t="str">
        <f t="shared" si="17"/>
        <v>Fjelstul World Cup Database + FootyStats CSV</v>
      </c>
      <c r="AI34" s="1" t="str">
        <f>Partidas!AX34</f>
        <v>Escanteios por partida indisponiveis no CSV FootyStats desta edicao; nao preencher com estimativa.</v>
      </c>
    </row>
    <row r="35" spans="1:35" ht="15" customHeight="1">
      <c r="A35" s="1" t="str">
        <f>Partidas!C35</f>
        <v>M-2006-34</v>
      </c>
      <c r="B35" s="4">
        <f>Partidas!F35</f>
        <v>38888</v>
      </c>
      <c r="C35" s="1">
        <f>Partidas!A35</f>
        <v>2006</v>
      </c>
      <c r="D35" s="1" t="str">
        <f>Partidas!H35</f>
        <v>Ecuador</v>
      </c>
      <c r="E35" s="1" t="str">
        <f>Partidas!I35</f>
        <v>Germany</v>
      </c>
      <c r="F35" s="5">
        <f>Partidas!J35</f>
        <v>0</v>
      </c>
      <c r="G35" s="5">
        <f>Partidas!K35</f>
        <v>3</v>
      </c>
      <c r="H35" s="1" t="str">
        <f>Partidas!M35</f>
        <v>A</v>
      </c>
      <c r="I35" s="5">
        <f t="shared" si="0"/>
        <v>3</v>
      </c>
      <c r="J35" s="1" t="b">
        <f t="shared" si="1"/>
        <v>1</v>
      </c>
      <c r="K35" s="1" t="b">
        <f t="shared" si="2"/>
        <v>1</v>
      </c>
      <c r="L35" s="1" t="b">
        <f t="shared" si="3"/>
        <v>0</v>
      </c>
      <c r="M35" s="1" t="b">
        <f t="shared" si="4"/>
        <v>0</v>
      </c>
      <c r="N35" s="1" t="b">
        <f t="shared" si="5"/>
        <v>1</v>
      </c>
      <c r="O35" s="1" t="b">
        <f t="shared" si="6"/>
        <v>0</v>
      </c>
      <c r="P35" s="1" t="b">
        <f t="shared" si="7"/>
        <v>0</v>
      </c>
      <c r="Q35" s="1" t="b">
        <f t="shared" si="8"/>
        <v>1</v>
      </c>
      <c r="R35" s="1" t="b">
        <f t="shared" si="9"/>
        <v>1</v>
      </c>
      <c r="S35" s="5">
        <f>Partidas!T35</f>
        <v>0</v>
      </c>
      <c r="T35" s="5">
        <f>Partidas!U35</f>
        <v>0</v>
      </c>
      <c r="U35" s="5">
        <f t="shared" si="10"/>
        <v>0</v>
      </c>
      <c r="V35" s="5" t="b">
        <f t="shared" si="11"/>
        <v>0</v>
      </c>
      <c r="W35" s="5" t="b">
        <f t="shared" si="12"/>
        <v>0</v>
      </c>
      <c r="X35" s="5">
        <f>Partidas!X35</f>
        <v>1</v>
      </c>
      <c r="Y35" s="5">
        <f>Partidas!Y35</f>
        <v>1</v>
      </c>
      <c r="Z35" s="5">
        <f>Partidas!AG35</f>
        <v>0</v>
      </c>
      <c r="AA35" s="5">
        <f>Partidas!AH35</f>
        <v>0</v>
      </c>
      <c r="AB35" s="5">
        <f t="shared" si="13"/>
        <v>2</v>
      </c>
      <c r="AC35" s="1" t="b">
        <f t="shared" si="14"/>
        <v>0</v>
      </c>
      <c r="AD35" s="1" t="b">
        <f t="shared" si="15"/>
        <v>0</v>
      </c>
      <c r="AE35" s="1" t="b">
        <f t="shared" si="16"/>
        <v>0</v>
      </c>
      <c r="AF35" s="1" t="str">
        <f>Partidas!W35</f>
        <v>dados_insuficientes</v>
      </c>
      <c r="AG35" s="1" t="str">
        <f>Partidas!AK35</f>
        <v>ok</v>
      </c>
      <c r="AH35" s="1" t="str">
        <f t="shared" si="17"/>
        <v>Fjelstul World Cup Database + FootyStats CSV</v>
      </c>
      <c r="AI35" s="1" t="str">
        <f>Partidas!AX35</f>
        <v>Escanteios por partida indisponiveis no CSV FootyStats desta edicao; nao preencher com estimativa.</v>
      </c>
    </row>
    <row r="36" spans="1:35" ht="15" customHeight="1">
      <c r="A36" s="1" t="str">
        <f>Partidas!C36</f>
        <v>M-2006-35</v>
      </c>
      <c r="B36" s="4">
        <f>Partidas!F36</f>
        <v>38888</v>
      </c>
      <c r="C36" s="1">
        <f>Partidas!A36</f>
        <v>2006</v>
      </c>
      <c r="D36" s="1" t="str">
        <f>Partidas!H36</f>
        <v>Paraguay</v>
      </c>
      <c r="E36" s="1" t="str">
        <f>Partidas!I36</f>
        <v>Trinidad and Tobago</v>
      </c>
      <c r="F36" s="5">
        <f>Partidas!J36</f>
        <v>2</v>
      </c>
      <c r="G36" s="5">
        <f>Partidas!K36</f>
        <v>0</v>
      </c>
      <c r="H36" s="1" t="str">
        <f>Partidas!M36</f>
        <v>H</v>
      </c>
      <c r="I36" s="5">
        <f t="shared" si="0"/>
        <v>2</v>
      </c>
      <c r="J36" s="1" t="b">
        <f t="shared" si="1"/>
        <v>1</v>
      </c>
      <c r="K36" s="1" t="b">
        <f t="shared" si="2"/>
        <v>0</v>
      </c>
      <c r="L36" s="1" t="b">
        <f t="shared" si="3"/>
        <v>0</v>
      </c>
      <c r="M36" s="1" t="b">
        <f t="shared" si="4"/>
        <v>1</v>
      </c>
      <c r="N36" s="1" t="b">
        <f t="shared" si="5"/>
        <v>1</v>
      </c>
      <c r="O36" s="1" t="b">
        <f t="shared" si="6"/>
        <v>0</v>
      </c>
      <c r="P36" s="1" t="b">
        <f t="shared" si="7"/>
        <v>1</v>
      </c>
      <c r="Q36" s="1" t="b">
        <f t="shared" si="8"/>
        <v>1</v>
      </c>
      <c r="R36" s="1" t="b">
        <f t="shared" si="9"/>
        <v>0</v>
      </c>
      <c r="S36" s="5">
        <f>Partidas!T36</f>
        <v>0</v>
      </c>
      <c r="T36" s="5">
        <f>Partidas!U36</f>
        <v>0</v>
      </c>
      <c r="U36" s="5">
        <f t="shared" si="10"/>
        <v>0</v>
      </c>
      <c r="V36" s="5" t="b">
        <f t="shared" si="11"/>
        <v>0</v>
      </c>
      <c r="W36" s="5" t="b">
        <f t="shared" si="12"/>
        <v>0</v>
      </c>
      <c r="X36" s="5">
        <f>Partidas!X36</f>
        <v>2</v>
      </c>
      <c r="Y36" s="5">
        <f>Partidas!Y36</f>
        <v>2</v>
      </c>
      <c r="Z36" s="5">
        <f>Partidas!AG36</f>
        <v>0</v>
      </c>
      <c r="AA36" s="5">
        <f>Partidas!AH36</f>
        <v>0</v>
      </c>
      <c r="AB36" s="5">
        <f t="shared" si="13"/>
        <v>4</v>
      </c>
      <c r="AC36" s="1" t="b">
        <f t="shared" si="14"/>
        <v>1</v>
      </c>
      <c r="AD36" s="1" t="b">
        <f t="shared" si="15"/>
        <v>0</v>
      </c>
      <c r="AE36" s="1" t="b">
        <f t="shared" si="16"/>
        <v>0</v>
      </c>
      <c r="AF36" s="1" t="str">
        <f>Partidas!W36</f>
        <v>dados_insuficientes</v>
      </c>
      <c r="AG36" s="1" t="str">
        <f>Partidas!AK36</f>
        <v>ok</v>
      </c>
      <c r="AH36" s="1" t="str">
        <f t="shared" si="17"/>
        <v>Fjelstul World Cup Database + FootyStats CSV</v>
      </c>
      <c r="AI36" s="1" t="str">
        <f>Partidas!AX36</f>
        <v>Escanteios por partida indisponiveis no CSV FootyStats desta edicao; nao preencher com estimativa.</v>
      </c>
    </row>
    <row r="37" spans="1:35" ht="15" customHeight="1">
      <c r="A37" s="1" t="str">
        <f>Partidas!C37</f>
        <v>M-2006-36</v>
      </c>
      <c r="B37" s="4">
        <f>Partidas!F37</f>
        <v>38888</v>
      </c>
      <c r="C37" s="1">
        <f>Partidas!A37</f>
        <v>2006</v>
      </c>
      <c r="D37" s="1" t="str">
        <f>Partidas!H37</f>
        <v>Sweden</v>
      </c>
      <c r="E37" s="1" t="str">
        <f>Partidas!I37</f>
        <v>England</v>
      </c>
      <c r="F37" s="5">
        <f>Partidas!J37</f>
        <v>2</v>
      </c>
      <c r="G37" s="5">
        <f>Partidas!K37</f>
        <v>2</v>
      </c>
      <c r="H37" s="1" t="str">
        <f>Partidas!M37</f>
        <v>D</v>
      </c>
      <c r="I37" s="5">
        <f t="shared" si="0"/>
        <v>4</v>
      </c>
      <c r="J37" s="1" t="b">
        <f t="shared" si="1"/>
        <v>1</v>
      </c>
      <c r="K37" s="1" t="b">
        <f t="shared" si="2"/>
        <v>1</v>
      </c>
      <c r="L37" s="1" t="b">
        <f t="shared" si="3"/>
        <v>1</v>
      </c>
      <c r="M37" s="1" t="b">
        <f t="shared" si="4"/>
        <v>0</v>
      </c>
      <c r="N37" s="1" t="b">
        <f t="shared" si="5"/>
        <v>0</v>
      </c>
      <c r="O37" s="1" t="b">
        <f t="shared" si="6"/>
        <v>1</v>
      </c>
      <c r="P37" s="1" t="b">
        <f t="shared" si="7"/>
        <v>1</v>
      </c>
      <c r="Q37" s="1" t="b">
        <f t="shared" si="8"/>
        <v>0</v>
      </c>
      <c r="R37" s="1" t="b">
        <f t="shared" si="9"/>
        <v>1</v>
      </c>
      <c r="S37" s="5">
        <f>Partidas!T37</f>
        <v>0</v>
      </c>
      <c r="T37" s="5">
        <f>Partidas!U37</f>
        <v>0</v>
      </c>
      <c r="U37" s="5">
        <f t="shared" si="10"/>
        <v>0</v>
      </c>
      <c r="V37" s="5" t="b">
        <f t="shared" si="11"/>
        <v>0</v>
      </c>
      <c r="W37" s="5" t="b">
        <f t="shared" si="12"/>
        <v>0</v>
      </c>
      <c r="X37" s="5">
        <f>Partidas!X37</f>
        <v>2</v>
      </c>
      <c r="Y37" s="5">
        <f>Partidas!Y37</f>
        <v>1</v>
      </c>
      <c r="Z37" s="5">
        <f>Partidas!AG37</f>
        <v>0</v>
      </c>
      <c r="AA37" s="5">
        <f>Partidas!AH37</f>
        <v>0</v>
      </c>
      <c r="AB37" s="5">
        <f t="shared" si="13"/>
        <v>3</v>
      </c>
      <c r="AC37" s="1" t="b">
        <f t="shared" si="14"/>
        <v>0</v>
      </c>
      <c r="AD37" s="1" t="b">
        <f t="shared" si="15"/>
        <v>0</v>
      </c>
      <c r="AE37" s="1" t="b">
        <f t="shared" si="16"/>
        <v>0</v>
      </c>
      <c r="AF37" s="1" t="str">
        <f>Partidas!W37</f>
        <v>dados_insuficientes</v>
      </c>
      <c r="AG37" s="1" t="str">
        <f>Partidas!AK37</f>
        <v>ok</v>
      </c>
      <c r="AH37" s="1" t="str">
        <f t="shared" si="17"/>
        <v>Fjelstul World Cup Database + FootyStats CSV</v>
      </c>
      <c r="AI37" s="1" t="str">
        <f>Partidas!AX37</f>
        <v>Escanteios por partida indisponiveis no CSV FootyStats desta edicao; nao preencher com estimativa.</v>
      </c>
    </row>
    <row r="38" spans="1:35" ht="15" customHeight="1">
      <c r="A38" s="1" t="str">
        <f>Partidas!C38</f>
        <v>M-2006-37</v>
      </c>
      <c r="B38" s="4">
        <f>Partidas!F38</f>
        <v>38889</v>
      </c>
      <c r="C38" s="1">
        <f>Partidas!A38</f>
        <v>2006</v>
      </c>
      <c r="D38" s="1" t="str">
        <f>Partidas!H38</f>
        <v>Iran</v>
      </c>
      <c r="E38" s="1" t="str">
        <f>Partidas!I38</f>
        <v>Angola</v>
      </c>
      <c r="F38" s="5">
        <f>Partidas!J38</f>
        <v>1</v>
      </c>
      <c r="G38" s="5">
        <f>Partidas!K38</f>
        <v>1</v>
      </c>
      <c r="H38" s="1" t="str">
        <f>Partidas!M38</f>
        <v>D</v>
      </c>
      <c r="I38" s="5">
        <f t="shared" si="0"/>
        <v>2</v>
      </c>
      <c r="J38" s="1" t="b">
        <f t="shared" si="1"/>
        <v>1</v>
      </c>
      <c r="K38" s="1" t="b">
        <f t="shared" si="2"/>
        <v>0</v>
      </c>
      <c r="L38" s="1" t="b">
        <f t="shared" si="3"/>
        <v>0</v>
      </c>
      <c r="M38" s="1" t="b">
        <f t="shared" si="4"/>
        <v>1</v>
      </c>
      <c r="N38" s="1" t="b">
        <f t="shared" si="5"/>
        <v>1</v>
      </c>
      <c r="O38" s="1" t="b">
        <f t="shared" si="6"/>
        <v>1</v>
      </c>
      <c r="P38" s="1" t="b">
        <f t="shared" si="7"/>
        <v>1</v>
      </c>
      <c r="Q38" s="1" t="b">
        <f t="shared" si="8"/>
        <v>0</v>
      </c>
      <c r="R38" s="1" t="b">
        <f t="shared" si="9"/>
        <v>1</v>
      </c>
      <c r="S38" s="5">
        <f>Partidas!T38</f>
        <v>0</v>
      </c>
      <c r="T38" s="5">
        <f>Partidas!U38</f>
        <v>0</v>
      </c>
      <c r="U38" s="5">
        <f t="shared" si="10"/>
        <v>0</v>
      </c>
      <c r="V38" s="5" t="b">
        <f t="shared" si="11"/>
        <v>0</v>
      </c>
      <c r="W38" s="5" t="b">
        <f t="shared" si="12"/>
        <v>0</v>
      </c>
      <c r="X38" s="5">
        <f>Partidas!X38</f>
        <v>3</v>
      </c>
      <c r="Y38" s="5">
        <f>Partidas!Y38</f>
        <v>3</v>
      </c>
      <c r="Z38" s="5">
        <f>Partidas!AG38</f>
        <v>0</v>
      </c>
      <c r="AA38" s="5">
        <f>Partidas!AH38</f>
        <v>0</v>
      </c>
      <c r="AB38" s="5">
        <f t="shared" si="13"/>
        <v>6</v>
      </c>
      <c r="AC38" s="1" t="b">
        <f t="shared" si="14"/>
        <v>1</v>
      </c>
      <c r="AD38" s="1" t="b">
        <f t="shared" si="15"/>
        <v>1</v>
      </c>
      <c r="AE38" s="1" t="b">
        <f t="shared" si="16"/>
        <v>1</v>
      </c>
      <c r="AF38" s="1" t="str">
        <f>Partidas!W38</f>
        <v>dados_insuficientes</v>
      </c>
      <c r="AG38" s="1" t="str">
        <f>Partidas!AK38</f>
        <v>ok</v>
      </c>
      <c r="AH38" s="1" t="str">
        <f t="shared" si="17"/>
        <v>Fjelstul World Cup Database + FootyStats CSV</v>
      </c>
      <c r="AI38" s="1" t="str">
        <f>Partidas!AX38</f>
        <v>Escanteios por partida indisponiveis no CSV FootyStats desta edicao; nao preencher com estimativa.</v>
      </c>
    </row>
    <row r="39" spans="1:35" ht="15" customHeight="1">
      <c r="A39" s="1" t="str">
        <f>Partidas!C39</f>
        <v>M-2006-38</v>
      </c>
      <c r="B39" s="4">
        <f>Partidas!F39</f>
        <v>38889</v>
      </c>
      <c r="C39" s="1">
        <f>Partidas!A39</f>
        <v>2006</v>
      </c>
      <c r="D39" s="1" t="str">
        <f>Partidas!H39</f>
        <v>Portugal</v>
      </c>
      <c r="E39" s="1" t="str">
        <f>Partidas!I39</f>
        <v>Mexico</v>
      </c>
      <c r="F39" s="5">
        <f>Partidas!J39</f>
        <v>2</v>
      </c>
      <c r="G39" s="5">
        <f>Partidas!K39</f>
        <v>1</v>
      </c>
      <c r="H39" s="1" t="str">
        <f>Partidas!M39</f>
        <v>H</v>
      </c>
      <c r="I39" s="5">
        <f t="shared" si="0"/>
        <v>3</v>
      </c>
      <c r="J39" s="1" t="b">
        <f t="shared" si="1"/>
        <v>1</v>
      </c>
      <c r="K39" s="1" t="b">
        <f t="shared" si="2"/>
        <v>1</v>
      </c>
      <c r="L39" s="1" t="b">
        <f t="shared" si="3"/>
        <v>0</v>
      </c>
      <c r="M39" s="1" t="b">
        <f t="shared" si="4"/>
        <v>0</v>
      </c>
      <c r="N39" s="1" t="b">
        <f t="shared" si="5"/>
        <v>1</v>
      </c>
      <c r="O39" s="1" t="b">
        <f t="shared" si="6"/>
        <v>1</v>
      </c>
      <c r="P39" s="1" t="b">
        <f t="shared" si="7"/>
        <v>1</v>
      </c>
      <c r="Q39" s="1" t="b">
        <f t="shared" si="8"/>
        <v>1</v>
      </c>
      <c r="R39" s="1" t="b">
        <f t="shared" si="9"/>
        <v>0</v>
      </c>
      <c r="S39" s="5">
        <f>Partidas!T39</f>
        <v>0</v>
      </c>
      <c r="T39" s="5">
        <f>Partidas!U39</f>
        <v>0</v>
      </c>
      <c r="U39" s="5">
        <f t="shared" si="10"/>
        <v>0</v>
      </c>
      <c r="V39" s="5" t="b">
        <f t="shared" si="11"/>
        <v>0</v>
      </c>
      <c r="W39" s="5" t="b">
        <f t="shared" si="12"/>
        <v>0</v>
      </c>
      <c r="X39" s="5">
        <f>Partidas!X39</f>
        <v>4</v>
      </c>
      <c r="Y39" s="5">
        <f>Partidas!Y39</f>
        <v>4</v>
      </c>
      <c r="Z39" s="5">
        <f>Partidas!AG39</f>
        <v>0</v>
      </c>
      <c r="AA39" s="5">
        <f>Partidas!AH39</f>
        <v>1</v>
      </c>
      <c r="AB39" s="5">
        <f t="shared" si="13"/>
        <v>9</v>
      </c>
      <c r="AC39" s="1" t="b">
        <f t="shared" si="14"/>
        <v>1</v>
      </c>
      <c r="AD39" s="1" t="b">
        <f t="shared" si="15"/>
        <v>1</v>
      </c>
      <c r="AE39" s="1" t="b">
        <f t="shared" si="16"/>
        <v>1</v>
      </c>
      <c r="AF39" s="1" t="str">
        <f>Partidas!W39</f>
        <v>dados_insuficientes</v>
      </c>
      <c r="AG39" s="1" t="str">
        <f>Partidas!AK39</f>
        <v>ok</v>
      </c>
      <c r="AH39" s="1" t="str">
        <f t="shared" si="17"/>
        <v>Fjelstul World Cup Database + FootyStats CSV</v>
      </c>
      <c r="AI39" s="1" t="str">
        <f>Partidas!AX39</f>
        <v>Escanteios por partida indisponiveis no CSV FootyStats desta edicao; nao preencher com estimativa.</v>
      </c>
    </row>
    <row r="40" spans="1:35" ht="15" customHeight="1">
      <c r="A40" s="1" t="str">
        <f>Partidas!C40</f>
        <v>M-2006-39</v>
      </c>
      <c r="B40" s="4">
        <f>Partidas!F40</f>
        <v>38889</v>
      </c>
      <c r="C40" s="1">
        <f>Partidas!A40</f>
        <v>2006</v>
      </c>
      <c r="D40" s="1" t="str">
        <f>Partidas!H40</f>
        <v>Ivory Coast</v>
      </c>
      <c r="E40" s="1" t="str">
        <f>Partidas!I40</f>
        <v>Serbia and Montenegro</v>
      </c>
      <c r="F40" s="5">
        <f>Partidas!J40</f>
        <v>3</v>
      </c>
      <c r="G40" s="5">
        <f>Partidas!K40</f>
        <v>2</v>
      </c>
      <c r="H40" s="1" t="str">
        <f>Partidas!M40</f>
        <v>H</v>
      </c>
      <c r="I40" s="5">
        <f t="shared" si="0"/>
        <v>5</v>
      </c>
      <c r="J40" s="1" t="b">
        <f t="shared" si="1"/>
        <v>1</v>
      </c>
      <c r="K40" s="1" t="b">
        <f t="shared" si="2"/>
        <v>1</v>
      </c>
      <c r="L40" s="1" t="b">
        <f t="shared" si="3"/>
        <v>1</v>
      </c>
      <c r="M40" s="1" t="b">
        <f t="shared" si="4"/>
        <v>0</v>
      </c>
      <c r="N40" s="1" t="b">
        <f t="shared" si="5"/>
        <v>0</v>
      </c>
      <c r="O40" s="1" t="b">
        <f t="shared" si="6"/>
        <v>1</v>
      </c>
      <c r="P40" s="1" t="b">
        <f t="shared" si="7"/>
        <v>1</v>
      </c>
      <c r="Q40" s="1" t="b">
        <f t="shared" si="8"/>
        <v>1</v>
      </c>
      <c r="R40" s="1" t="b">
        <f t="shared" si="9"/>
        <v>0</v>
      </c>
      <c r="S40" s="5">
        <f>Partidas!T40</f>
        <v>0</v>
      </c>
      <c r="T40" s="5">
        <f>Partidas!U40</f>
        <v>0</v>
      </c>
      <c r="U40" s="5">
        <f t="shared" si="10"/>
        <v>0</v>
      </c>
      <c r="V40" s="5" t="b">
        <f t="shared" si="11"/>
        <v>0</v>
      </c>
      <c r="W40" s="5" t="b">
        <f t="shared" si="12"/>
        <v>0</v>
      </c>
      <c r="X40" s="5">
        <f>Partidas!X40</f>
        <v>3</v>
      </c>
      <c r="Y40" s="5">
        <f>Partidas!Y40</f>
        <v>4</v>
      </c>
      <c r="Z40" s="5">
        <f>Partidas!AG40</f>
        <v>1</v>
      </c>
      <c r="AA40" s="5">
        <f>Partidas!AH40</f>
        <v>1</v>
      </c>
      <c r="AB40" s="5">
        <f t="shared" si="13"/>
        <v>9</v>
      </c>
      <c r="AC40" s="1" t="b">
        <f t="shared" si="14"/>
        <v>1</v>
      </c>
      <c r="AD40" s="1" t="b">
        <f t="shared" si="15"/>
        <v>1</v>
      </c>
      <c r="AE40" s="1" t="b">
        <f t="shared" si="16"/>
        <v>1</v>
      </c>
      <c r="AF40" s="1" t="str">
        <f>Partidas!W40</f>
        <v>dados_insuficientes</v>
      </c>
      <c r="AG40" s="1" t="str">
        <f>Partidas!AK40</f>
        <v>ok</v>
      </c>
      <c r="AH40" s="1" t="str">
        <f t="shared" si="17"/>
        <v>Fjelstul World Cup Database + FootyStats CSV</v>
      </c>
      <c r="AI40" s="1" t="str">
        <f>Partidas!AX40</f>
        <v>Escanteios por partida indisponiveis no CSV FootyStats desta edicao; nao preencher com estimativa.</v>
      </c>
    </row>
    <row r="41" spans="1:35" ht="15" customHeight="1">
      <c r="A41" s="1" t="str">
        <f>Partidas!C41</f>
        <v>M-2006-40</v>
      </c>
      <c r="B41" s="4">
        <f>Partidas!F41</f>
        <v>38889</v>
      </c>
      <c r="C41" s="1">
        <f>Partidas!A41</f>
        <v>2006</v>
      </c>
      <c r="D41" s="1" t="str">
        <f>Partidas!H41</f>
        <v>Netherlands</v>
      </c>
      <c r="E41" s="1" t="str">
        <f>Partidas!I41</f>
        <v>Argentina</v>
      </c>
      <c r="F41" s="5">
        <f>Partidas!J41</f>
        <v>0</v>
      </c>
      <c r="G41" s="5">
        <f>Partidas!K41</f>
        <v>0</v>
      </c>
      <c r="H41" s="1" t="str">
        <f>Partidas!M41</f>
        <v>D</v>
      </c>
      <c r="I41" s="5">
        <f t="shared" si="0"/>
        <v>0</v>
      </c>
      <c r="J41" s="1" t="b">
        <f t="shared" si="1"/>
        <v>0</v>
      </c>
      <c r="K41" s="1" t="b">
        <f t="shared" si="2"/>
        <v>0</v>
      </c>
      <c r="L41" s="1" t="b">
        <f t="shared" si="3"/>
        <v>0</v>
      </c>
      <c r="M41" s="1" t="b">
        <f t="shared" si="4"/>
        <v>1</v>
      </c>
      <c r="N41" s="1" t="b">
        <f t="shared" si="5"/>
        <v>1</v>
      </c>
      <c r="O41" s="1" t="b">
        <f t="shared" si="6"/>
        <v>0</v>
      </c>
      <c r="P41" s="1" t="b">
        <f t="shared" si="7"/>
        <v>1</v>
      </c>
      <c r="Q41" s="1" t="b">
        <f t="shared" si="8"/>
        <v>0</v>
      </c>
      <c r="R41" s="1" t="b">
        <f t="shared" si="9"/>
        <v>1</v>
      </c>
      <c r="S41" s="5">
        <f>Partidas!T41</f>
        <v>0</v>
      </c>
      <c r="T41" s="5">
        <f>Partidas!U41</f>
        <v>0</v>
      </c>
      <c r="U41" s="5">
        <f t="shared" si="10"/>
        <v>0</v>
      </c>
      <c r="V41" s="5" t="b">
        <f t="shared" si="11"/>
        <v>0</v>
      </c>
      <c r="W41" s="5" t="b">
        <f t="shared" si="12"/>
        <v>0</v>
      </c>
      <c r="X41" s="5">
        <f>Partidas!X41</f>
        <v>3</v>
      </c>
      <c r="Y41" s="5">
        <f>Partidas!Y41</f>
        <v>2</v>
      </c>
      <c r="Z41" s="5">
        <f>Partidas!AG41</f>
        <v>0</v>
      </c>
      <c r="AA41" s="5">
        <f>Partidas!AH41</f>
        <v>0</v>
      </c>
      <c r="AB41" s="5">
        <f t="shared" si="13"/>
        <v>5</v>
      </c>
      <c r="AC41" s="1" t="b">
        <f t="shared" si="14"/>
        <v>1</v>
      </c>
      <c r="AD41" s="1" t="b">
        <f t="shared" si="15"/>
        <v>1</v>
      </c>
      <c r="AE41" s="1" t="b">
        <f t="shared" si="16"/>
        <v>0</v>
      </c>
      <c r="AF41" s="1" t="str">
        <f>Partidas!W41</f>
        <v>dados_insuficientes</v>
      </c>
      <c r="AG41" s="1" t="str">
        <f>Partidas!AK41</f>
        <v>ok</v>
      </c>
      <c r="AH41" s="1" t="str">
        <f t="shared" si="17"/>
        <v>Fjelstul World Cup Database + FootyStats CSV</v>
      </c>
      <c r="AI41" s="1" t="str">
        <f>Partidas!AX41</f>
        <v>Escanteios por partida indisponiveis no CSV FootyStats desta edicao; nao preencher com estimativa.</v>
      </c>
    </row>
    <row r="42" spans="1:35" ht="15" customHeight="1">
      <c r="A42" s="1" t="str">
        <f>Partidas!C42</f>
        <v>M-2006-41</v>
      </c>
      <c r="B42" s="4">
        <f>Partidas!F42</f>
        <v>38890</v>
      </c>
      <c r="C42" s="1">
        <f>Partidas!A42</f>
        <v>2006</v>
      </c>
      <c r="D42" s="1" t="str">
        <f>Partidas!H42</f>
        <v>Czech Republic</v>
      </c>
      <c r="E42" s="1" t="str">
        <f>Partidas!I42</f>
        <v>Italy</v>
      </c>
      <c r="F42" s="5">
        <f>Partidas!J42</f>
        <v>0</v>
      </c>
      <c r="G42" s="5">
        <f>Partidas!K42</f>
        <v>2</v>
      </c>
      <c r="H42" s="1" t="str">
        <f>Partidas!M42</f>
        <v>A</v>
      </c>
      <c r="I42" s="5">
        <f t="shared" si="0"/>
        <v>2</v>
      </c>
      <c r="J42" s="1" t="b">
        <f t="shared" si="1"/>
        <v>1</v>
      </c>
      <c r="K42" s="1" t="b">
        <f t="shared" si="2"/>
        <v>0</v>
      </c>
      <c r="L42" s="1" t="b">
        <f t="shared" si="3"/>
        <v>0</v>
      </c>
      <c r="M42" s="1" t="b">
        <f t="shared" si="4"/>
        <v>1</v>
      </c>
      <c r="N42" s="1" t="b">
        <f t="shared" si="5"/>
        <v>1</v>
      </c>
      <c r="O42" s="1" t="b">
        <f t="shared" si="6"/>
        <v>0</v>
      </c>
      <c r="P42" s="1" t="b">
        <f t="shared" si="7"/>
        <v>0</v>
      </c>
      <c r="Q42" s="1" t="b">
        <f t="shared" si="8"/>
        <v>1</v>
      </c>
      <c r="R42" s="1" t="b">
        <f t="shared" si="9"/>
        <v>1</v>
      </c>
      <c r="S42" s="5">
        <f>Partidas!T42</f>
        <v>0</v>
      </c>
      <c r="T42" s="5">
        <f>Partidas!U42</f>
        <v>0</v>
      </c>
      <c r="U42" s="5">
        <f t="shared" si="10"/>
        <v>0</v>
      </c>
      <c r="V42" s="5" t="b">
        <f t="shared" si="11"/>
        <v>0</v>
      </c>
      <c r="W42" s="5" t="b">
        <f t="shared" si="12"/>
        <v>0</v>
      </c>
      <c r="X42" s="5">
        <f>Partidas!X42</f>
        <v>1</v>
      </c>
      <c r="Y42" s="5">
        <f>Partidas!Y42</f>
        <v>1</v>
      </c>
      <c r="Z42" s="5">
        <f>Partidas!AG42</f>
        <v>1</v>
      </c>
      <c r="AA42" s="5">
        <f>Partidas!AH42</f>
        <v>0</v>
      </c>
      <c r="AB42" s="5">
        <f t="shared" si="13"/>
        <v>3</v>
      </c>
      <c r="AC42" s="1" t="b">
        <f t="shared" si="14"/>
        <v>0</v>
      </c>
      <c r="AD42" s="1" t="b">
        <f t="shared" si="15"/>
        <v>0</v>
      </c>
      <c r="AE42" s="1" t="b">
        <f t="shared" si="16"/>
        <v>0</v>
      </c>
      <c r="AF42" s="1" t="str">
        <f>Partidas!W42</f>
        <v>dados_insuficientes</v>
      </c>
      <c r="AG42" s="1" t="str">
        <f>Partidas!AK42</f>
        <v>ok</v>
      </c>
      <c r="AH42" s="1" t="str">
        <f t="shared" si="17"/>
        <v>Fjelstul World Cup Database + FootyStats CSV</v>
      </c>
      <c r="AI42" s="1" t="str">
        <f>Partidas!AX42</f>
        <v>Escanteios por partida indisponiveis no CSV FootyStats desta edicao; nao preencher com estimativa.</v>
      </c>
    </row>
    <row r="43" spans="1:35" ht="15" customHeight="1">
      <c r="A43" s="1" t="str">
        <f>Partidas!C43</f>
        <v>M-2006-42</v>
      </c>
      <c r="B43" s="4">
        <f>Partidas!F43</f>
        <v>38890</v>
      </c>
      <c r="C43" s="1">
        <f>Partidas!A43</f>
        <v>2006</v>
      </c>
      <c r="D43" s="1" t="str">
        <f>Partidas!H43</f>
        <v>Ghana</v>
      </c>
      <c r="E43" s="1" t="str">
        <f>Partidas!I43</f>
        <v>United States</v>
      </c>
      <c r="F43" s="5">
        <f>Partidas!J43</f>
        <v>2</v>
      </c>
      <c r="G43" s="5">
        <f>Partidas!K43</f>
        <v>1</v>
      </c>
      <c r="H43" s="1" t="str">
        <f>Partidas!M43</f>
        <v>H</v>
      </c>
      <c r="I43" s="5">
        <f t="shared" si="0"/>
        <v>3</v>
      </c>
      <c r="J43" s="1" t="b">
        <f t="shared" si="1"/>
        <v>1</v>
      </c>
      <c r="K43" s="1" t="b">
        <f t="shared" si="2"/>
        <v>1</v>
      </c>
      <c r="L43" s="1" t="b">
        <f t="shared" si="3"/>
        <v>0</v>
      </c>
      <c r="M43" s="1" t="b">
        <f t="shared" si="4"/>
        <v>0</v>
      </c>
      <c r="N43" s="1" t="b">
        <f t="shared" si="5"/>
        <v>1</v>
      </c>
      <c r="O43" s="1" t="b">
        <f t="shared" si="6"/>
        <v>1</v>
      </c>
      <c r="P43" s="1" t="b">
        <f t="shared" si="7"/>
        <v>1</v>
      </c>
      <c r="Q43" s="1" t="b">
        <f t="shared" si="8"/>
        <v>1</v>
      </c>
      <c r="R43" s="1" t="b">
        <f t="shared" si="9"/>
        <v>0</v>
      </c>
      <c r="S43" s="5">
        <f>Partidas!T43</f>
        <v>0</v>
      </c>
      <c r="T43" s="5">
        <f>Partidas!U43</f>
        <v>0</v>
      </c>
      <c r="U43" s="5">
        <f t="shared" si="10"/>
        <v>0</v>
      </c>
      <c r="V43" s="5" t="b">
        <f t="shared" si="11"/>
        <v>0</v>
      </c>
      <c r="W43" s="5" t="b">
        <f t="shared" si="12"/>
        <v>0</v>
      </c>
      <c r="X43" s="5">
        <f>Partidas!X43</f>
        <v>4</v>
      </c>
      <c r="Y43" s="5">
        <f>Partidas!Y43</f>
        <v>1</v>
      </c>
      <c r="Z43" s="5">
        <f>Partidas!AG43</f>
        <v>0</v>
      </c>
      <c r="AA43" s="5">
        <f>Partidas!AH43</f>
        <v>0</v>
      </c>
      <c r="AB43" s="5">
        <f t="shared" si="13"/>
        <v>5</v>
      </c>
      <c r="AC43" s="1" t="b">
        <f t="shared" si="14"/>
        <v>1</v>
      </c>
      <c r="AD43" s="1" t="b">
        <f t="shared" si="15"/>
        <v>1</v>
      </c>
      <c r="AE43" s="1" t="b">
        <f t="shared" si="16"/>
        <v>0</v>
      </c>
      <c r="AF43" s="1" t="str">
        <f>Partidas!W43</f>
        <v>dados_insuficientes</v>
      </c>
      <c r="AG43" s="1" t="str">
        <f>Partidas!AK43</f>
        <v>ok</v>
      </c>
      <c r="AH43" s="1" t="str">
        <f t="shared" si="17"/>
        <v>Fjelstul World Cup Database + FootyStats CSV</v>
      </c>
      <c r="AI43" s="1" t="str">
        <f>Partidas!AX43</f>
        <v>Escanteios por partida indisponiveis no CSV FootyStats desta edicao; nao preencher com estimativa.</v>
      </c>
    </row>
    <row r="44" spans="1:35" ht="15" customHeight="1">
      <c r="A44" s="1" t="str">
        <f>Partidas!C44</f>
        <v>M-2006-43</v>
      </c>
      <c r="B44" s="4">
        <f>Partidas!F44</f>
        <v>38890</v>
      </c>
      <c r="C44" s="1">
        <f>Partidas!A44</f>
        <v>2006</v>
      </c>
      <c r="D44" s="1" t="str">
        <f>Partidas!H44</f>
        <v>Croatia</v>
      </c>
      <c r="E44" s="1" t="str">
        <f>Partidas!I44</f>
        <v>Australia</v>
      </c>
      <c r="F44" s="5">
        <f>Partidas!J44</f>
        <v>2</v>
      </c>
      <c r="G44" s="5">
        <f>Partidas!K44</f>
        <v>2</v>
      </c>
      <c r="H44" s="1" t="str">
        <f>Partidas!M44</f>
        <v>D</v>
      </c>
      <c r="I44" s="5">
        <f t="shared" si="0"/>
        <v>4</v>
      </c>
      <c r="J44" s="1" t="b">
        <f t="shared" si="1"/>
        <v>1</v>
      </c>
      <c r="K44" s="1" t="b">
        <f t="shared" si="2"/>
        <v>1</v>
      </c>
      <c r="L44" s="1" t="b">
        <f t="shared" si="3"/>
        <v>1</v>
      </c>
      <c r="M44" s="1" t="b">
        <f t="shared" si="4"/>
        <v>0</v>
      </c>
      <c r="N44" s="1" t="b">
        <f t="shared" si="5"/>
        <v>0</v>
      </c>
      <c r="O44" s="1" t="b">
        <f t="shared" si="6"/>
        <v>1</v>
      </c>
      <c r="P44" s="1" t="b">
        <f t="shared" si="7"/>
        <v>1</v>
      </c>
      <c r="Q44" s="1" t="b">
        <f t="shared" si="8"/>
        <v>0</v>
      </c>
      <c r="R44" s="1" t="b">
        <f t="shared" si="9"/>
        <v>1</v>
      </c>
      <c r="S44" s="5">
        <f>Partidas!T44</f>
        <v>0</v>
      </c>
      <c r="T44" s="5">
        <f>Partidas!U44</f>
        <v>0</v>
      </c>
      <c r="U44" s="5">
        <f t="shared" si="10"/>
        <v>0</v>
      </c>
      <c r="V44" s="5" t="b">
        <f t="shared" si="11"/>
        <v>0</v>
      </c>
      <c r="W44" s="5" t="b">
        <f t="shared" si="12"/>
        <v>0</v>
      </c>
      <c r="X44" s="5">
        <f>Partidas!X44</f>
        <v>4</v>
      </c>
      <c r="Y44" s="5">
        <f>Partidas!Y44</f>
        <v>1</v>
      </c>
      <c r="Z44" s="5">
        <f>Partidas!AG44</f>
        <v>2</v>
      </c>
      <c r="AA44" s="5">
        <f>Partidas!AH44</f>
        <v>1</v>
      </c>
      <c r="AB44" s="5">
        <f t="shared" si="13"/>
        <v>8</v>
      </c>
      <c r="AC44" s="1" t="b">
        <f t="shared" si="14"/>
        <v>1</v>
      </c>
      <c r="AD44" s="1" t="b">
        <f t="shared" si="15"/>
        <v>1</v>
      </c>
      <c r="AE44" s="1" t="b">
        <f t="shared" si="16"/>
        <v>1</v>
      </c>
      <c r="AF44" s="1" t="str">
        <f>Partidas!W44</f>
        <v>dados_insuficientes</v>
      </c>
      <c r="AG44" s="1" t="str">
        <f>Partidas!AK44</f>
        <v>ok</v>
      </c>
      <c r="AH44" s="1" t="str">
        <f t="shared" si="17"/>
        <v>Fjelstul World Cup Database + FootyStats CSV</v>
      </c>
      <c r="AI44" s="1" t="str">
        <f>Partidas!AX44</f>
        <v>Escanteios por partida indisponiveis no CSV FootyStats desta edicao; nao preencher com estimativa.</v>
      </c>
    </row>
    <row r="45" spans="1:35" ht="15" customHeight="1">
      <c r="A45" s="1" t="str">
        <f>Partidas!C45</f>
        <v>M-2006-44</v>
      </c>
      <c r="B45" s="4">
        <f>Partidas!F45</f>
        <v>38890</v>
      </c>
      <c r="C45" s="1">
        <f>Partidas!A45</f>
        <v>2006</v>
      </c>
      <c r="D45" s="1" t="str">
        <f>Partidas!H45</f>
        <v>Japan</v>
      </c>
      <c r="E45" s="1" t="str">
        <f>Partidas!I45</f>
        <v>Brazil</v>
      </c>
      <c r="F45" s="5">
        <f>Partidas!J45</f>
        <v>1</v>
      </c>
      <c r="G45" s="5">
        <f>Partidas!K45</f>
        <v>4</v>
      </c>
      <c r="H45" s="1" t="str">
        <f>Partidas!M45</f>
        <v>A</v>
      </c>
      <c r="I45" s="5">
        <f t="shared" si="0"/>
        <v>5</v>
      </c>
      <c r="J45" s="1" t="b">
        <f t="shared" si="1"/>
        <v>1</v>
      </c>
      <c r="K45" s="1" t="b">
        <f t="shared" si="2"/>
        <v>1</v>
      </c>
      <c r="L45" s="1" t="b">
        <f t="shared" si="3"/>
        <v>1</v>
      </c>
      <c r="M45" s="1" t="b">
        <f t="shared" si="4"/>
        <v>0</v>
      </c>
      <c r="N45" s="1" t="b">
        <f t="shared" si="5"/>
        <v>0</v>
      </c>
      <c r="O45" s="1" t="b">
        <f t="shared" si="6"/>
        <v>1</v>
      </c>
      <c r="P45" s="1" t="b">
        <f t="shared" si="7"/>
        <v>0</v>
      </c>
      <c r="Q45" s="1" t="b">
        <f t="shared" si="8"/>
        <v>1</v>
      </c>
      <c r="R45" s="1" t="b">
        <f t="shared" si="9"/>
        <v>1</v>
      </c>
      <c r="S45" s="5">
        <f>Partidas!T45</f>
        <v>0</v>
      </c>
      <c r="T45" s="5">
        <f>Partidas!U45</f>
        <v>0</v>
      </c>
      <c r="U45" s="5">
        <f t="shared" si="10"/>
        <v>0</v>
      </c>
      <c r="V45" s="5" t="b">
        <f t="shared" si="11"/>
        <v>0</v>
      </c>
      <c r="W45" s="5" t="b">
        <f t="shared" si="12"/>
        <v>0</v>
      </c>
      <c r="X45" s="5">
        <f>Partidas!X45</f>
        <v>1</v>
      </c>
      <c r="Y45" s="5">
        <f>Partidas!Y45</f>
        <v>1</v>
      </c>
      <c r="Z45" s="5">
        <f>Partidas!AG45</f>
        <v>0</v>
      </c>
      <c r="AA45" s="5">
        <f>Partidas!AH45</f>
        <v>0</v>
      </c>
      <c r="AB45" s="5">
        <f t="shared" si="13"/>
        <v>2</v>
      </c>
      <c r="AC45" s="1" t="b">
        <f t="shared" si="14"/>
        <v>0</v>
      </c>
      <c r="AD45" s="1" t="b">
        <f t="shared" si="15"/>
        <v>0</v>
      </c>
      <c r="AE45" s="1" t="b">
        <f t="shared" si="16"/>
        <v>0</v>
      </c>
      <c r="AF45" s="1" t="str">
        <f>Partidas!W45</f>
        <v>dados_insuficientes</v>
      </c>
      <c r="AG45" s="1" t="str">
        <f>Partidas!AK45</f>
        <v>ok</v>
      </c>
      <c r="AH45" s="1" t="str">
        <f t="shared" si="17"/>
        <v>Fjelstul World Cup Database + FootyStats CSV</v>
      </c>
      <c r="AI45" s="1" t="str">
        <f>Partidas!AX45</f>
        <v>Escanteios por partida indisponiveis no CSV FootyStats desta edicao; nao preencher com estimativa.</v>
      </c>
    </row>
    <row r="46" spans="1:35" ht="15" customHeight="1">
      <c r="A46" s="1" t="str">
        <f>Partidas!C46</f>
        <v>M-2006-45</v>
      </c>
      <c r="B46" s="4">
        <f>Partidas!F46</f>
        <v>38891</v>
      </c>
      <c r="C46" s="1">
        <f>Partidas!A46</f>
        <v>2006</v>
      </c>
      <c r="D46" s="1" t="str">
        <f>Partidas!H46</f>
        <v>Saudi Arabia</v>
      </c>
      <c r="E46" s="1" t="str">
        <f>Partidas!I46</f>
        <v>Spain</v>
      </c>
      <c r="F46" s="5">
        <f>Partidas!J46</f>
        <v>0</v>
      </c>
      <c r="G46" s="5">
        <f>Partidas!K46</f>
        <v>1</v>
      </c>
      <c r="H46" s="1" t="str">
        <f>Partidas!M46</f>
        <v>A</v>
      </c>
      <c r="I46" s="5">
        <f t="shared" si="0"/>
        <v>1</v>
      </c>
      <c r="J46" s="1" t="b">
        <f t="shared" si="1"/>
        <v>0</v>
      </c>
      <c r="K46" s="1" t="b">
        <f t="shared" si="2"/>
        <v>0</v>
      </c>
      <c r="L46" s="1" t="b">
        <f t="shared" si="3"/>
        <v>0</v>
      </c>
      <c r="M46" s="1" t="b">
        <f t="shared" si="4"/>
        <v>1</v>
      </c>
      <c r="N46" s="1" t="b">
        <f t="shared" si="5"/>
        <v>1</v>
      </c>
      <c r="O46" s="1" t="b">
        <f t="shared" si="6"/>
        <v>0</v>
      </c>
      <c r="P46" s="1" t="b">
        <f t="shared" si="7"/>
        <v>0</v>
      </c>
      <c r="Q46" s="1" t="b">
        <f t="shared" si="8"/>
        <v>1</v>
      </c>
      <c r="R46" s="1" t="b">
        <f t="shared" si="9"/>
        <v>1</v>
      </c>
      <c r="S46" s="5">
        <f>Partidas!T46</f>
        <v>0</v>
      </c>
      <c r="T46" s="5">
        <f>Partidas!U46</f>
        <v>0</v>
      </c>
      <c r="U46" s="5">
        <f t="shared" si="10"/>
        <v>0</v>
      </c>
      <c r="V46" s="5" t="b">
        <f t="shared" si="11"/>
        <v>0</v>
      </c>
      <c r="W46" s="5" t="b">
        <f t="shared" si="12"/>
        <v>0</v>
      </c>
      <c r="X46" s="5">
        <f>Partidas!X46</f>
        <v>2</v>
      </c>
      <c r="Y46" s="5">
        <f>Partidas!Y46</f>
        <v>3</v>
      </c>
      <c r="Z46" s="5">
        <f>Partidas!AG46</f>
        <v>0</v>
      </c>
      <c r="AA46" s="5">
        <f>Partidas!AH46</f>
        <v>0</v>
      </c>
      <c r="AB46" s="5">
        <f t="shared" si="13"/>
        <v>5</v>
      </c>
      <c r="AC46" s="1" t="b">
        <f t="shared" si="14"/>
        <v>1</v>
      </c>
      <c r="AD46" s="1" t="b">
        <f t="shared" si="15"/>
        <v>1</v>
      </c>
      <c r="AE46" s="1" t="b">
        <f t="shared" si="16"/>
        <v>0</v>
      </c>
      <c r="AF46" s="1" t="str">
        <f>Partidas!W46</f>
        <v>dados_insuficientes</v>
      </c>
      <c r="AG46" s="1" t="str">
        <f>Partidas!AK46</f>
        <v>ok</v>
      </c>
      <c r="AH46" s="1" t="str">
        <f t="shared" si="17"/>
        <v>Fjelstul World Cup Database + FootyStats CSV</v>
      </c>
      <c r="AI46" s="1" t="str">
        <f>Partidas!AX46</f>
        <v>Escanteios por partida indisponiveis no CSV FootyStats desta edicao; nao preencher com estimativa.</v>
      </c>
    </row>
    <row r="47" spans="1:35" ht="15" customHeight="1">
      <c r="A47" s="1" t="str">
        <f>Partidas!C47</f>
        <v>M-2006-46</v>
      </c>
      <c r="B47" s="4">
        <f>Partidas!F47</f>
        <v>38891</v>
      </c>
      <c r="C47" s="1">
        <f>Partidas!A47</f>
        <v>2006</v>
      </c>
      <c r="D47" s="1" t="str">
        <f>Partidas!H47</f>
        <v>Ukraine</v>
      </c>
      <c r="E47" s="1" t="str">
        <f>Partidas!I47</f>
        <v>Tunisia</v>
      </c>
      <c r="F47" s="5">
        <f>Partidas!J47</f>
        <v>1</v>
      </c>
      <c r="G47" s="5">
        <f>Partidas!K47</f>
        <v>0</v>
      </c>
      <c r="H47" s="1" t="str">
        <f>Partidas!M47</f>
        <v>H</v>
      </c>
      <c r="I47" s="5">
        <f t="shared" si="0"/>
        <v>1</v>
      </c>
      <c r="J47" s="1" t="b">
        <f t="shared" si="1"/>
        <v>0</v>
      </c>
      <c r="K47" s="1" t="b">
        <f t="shared" si="2"/>
        <v>0</v>
      </c>
      <c r="L47" s="1" t="b">
        <f t="shared" si="3"/>
        <v>0</v>
      </c>
      <c r="M47" s="1" t="b">
        <f t="shared" si="4"/>
        <v>1</v>
      </c>
      <c r="N47" s="1" t="b">
        <f t="shared" si="5"/>
        <v>1</v>
      </c>
      <c r="O47" s="1" t="b">
        <f t="shared" si="6"/>
        <v>0</v>
      </c>
      <c r="P47" s="1" t="b">
        <f t="shared" si="7"/>
        <v>1</v>
      </c>
      <c r="Q47" s="1" t="b">
        <f t="shared" si="8"/>
        <v>1</v>
      </c>
      <c r="R47" s="1" t="b">
        <f t="shared" si="9"/>
        <v>0</v>
      </c>
      <c r="S47" s="5">
        <f>Partidas!T47</f>
        <v>0</v>
      </c>
      <c r="T47" s="5">
        <f>Partidas!U47</f>
        <v>0</v>
      </c>
      <c r="U47" s="5">
        <f t="shared" si="10"/>
        <v>0</v>
      </c>
      <c r="V47" s="5" t="b">
        <f t="shared" si="11"/>
        <v>0</v>
      </c>
      <c r="W47" s="5" t="b">
        <f t="shared" si="12"/>
        <v>0</v>
      </c>
      <c r="X47" s="5">
        <f>Partidas!X47</f>
        <v>4</v>
      </c>
      <c r="Y47" s="5">
        <f>Partidas!Y47</f>
        <v>3</v>
      </c>
      <c r="Z47" s="5">
        <f>Partidas!AG47</f>
        <v>0</v>
      </c>
      <c r="AA47" s="5">
        <f>Partidas!AH47</f>
        <v>1</v>
      </c>
      <c r="AB47" s="5">
        <f t="shared" si="13"/>
        <v>8</v>
      </c>
      <c r="AC47" s="1" t="b">
        <f t="shared" si="14"/>
        <v>1</v>
      </c>
      <c r="AD47" s="1" t="b">
        <f t="shared" si="15"/>
        <v>1</v>
      </c>
      <c r="AE47" s="1" t="b">
        <f t="shared" si="16"/>
        <v>1</v>
      </c>
      <c r="AF47" s="1" t="str">
        <f>Partidas!W47</f>
        <v>dados_insuficientes</v>
      </c>
      <c r="AG47" s="1" t="str">
        <f>Partidas!AK47</f>
        <v>ok</v>
      </c>
      <c r="AH47" s="1" t="str">
        <f t="shared" si="17"/>
        <v>Fjelstul World Cup Database + FootyStats CSV</v>
      </c>
      <c r="AI47" s="1" t="str">
        <f>Partidas!AX47</f>
        <v>Escanteios por partida indisponiveis no CSV FootyStats desta edicao; nao preencher com estimativa.</v>
      </c>
    </row>
    <row r="48" spans="1:35" ht="15" customHeight="1">
      <c r="A48" s="1" t="str">
        <f>Partidas!C48</f>
        <v>M-2006-47</v>
      </c>
      <c r="B48" s="4">
        <f>Partidas!F48</f>
        <v>38891</v>
      </c>
      <c r="C48" s="1">
        <f>Partidas!A48</f>
        <v>2006</v>
      </c>
      <c r="D48" s="1" t="str">
        <f>Partidas!H48</f>
        <v>Switzerland</v>
      </c>
      <c r="E48" s="1" t="str">
        <f>Partidas!I48</f>
        <v>South Korea</v>
      </c>
      <c r="F48" s="5">
        <f>Partidas!J48</f>
        <v>2</v>
      </c>
      <c r="G48" s="5">
        <f>Partidas!K48</f>
        <v>0</v>
      </c>
      <c r="H48" s="1" t="str">
        <f>Partidas!M48</f>
        <v>H</v>
      </c>
      <c r="I48" s="5">
        <f t="shared" si="0"/>
        <v>2</v>
      </c>
      <c r="J48" s="1" t="b">
        <f t="shared" si="1"/>
        <v>1</v>
      </c>
      <c r="K48" s="1" t="b">
        <f t="shared" si="2"/>
        <v>0</v>
      </c>
      <c r="L48" s="1" t="b">
        <f t="shared" si="3"/>
        <v>0</v>
      </c>
      <c r="M48" s="1" t="b">
        <f t="shared" si="4"/>
        <v>1</v>
      </c>
      <c r="N48" s="1" t="b">
        <f t="shared" si="5"/>
        <v>1</v>
      </c>
      <c r="O48" s="1" t="b">
        <f t="shared" si="6"/>
        <v>0</v>
      </c>
      <c r="P48" s="1" t="b">
        <f t="shared" si="7"/>
        <v>1</v>
      </c>
      <c r="Q48" s="1" t="b">
        <f t="shared" si="8"/>
        <v>1</v>
      </c>
      <c r="R48" s="1" t="b">
        <f t="shared" si="9"/>
        <v>0</v>
      </c>
      <c r="S48" s="5">
        <f>Partidas!T48</f>
        <v>0</v>
      </c>
      <c r="T48" s="5">
        <f>Partidas!U48</f>
        <v>0</v>
      </c>
      <c r="U48" s="5">
        <f t="shared" si="10"/>
        <v>0</v>
      </c>
      <c r="V48" s="5" t="b">
        <f t="shared" si="11"/>
        <v>0</v>
      </c>
      <c r="W48" s="5" t="b">
        <f t="shared" si="12"/>
        <v>0</v>
      </c>
      <c r="X48" s="5">
        <f>Partidas!X48</f>
        <v>5</v>
      </c>
      <c r="Y48" s="5">
        <f>Partidas!Y48</f>
        <v>5</v>
      </c>
      <c r="Z48" s="5">
        <f>Partidas!AG48</f>
        <v>0</v>
      </c>
      <c r="AA48" s="5">
        <f>Partidas!AH48</f>
        <v>0</v>
      </c>
      <c r="AB48" s="5">
        <f t="shared" si="13"/>
        <v>10</v>
      </c>
      <c r="AC48" s="1" t="b">
        <f t="shared" si="14"/>
        <v>1</v>
      </c>
      <c r="AD48" s="1" t="b">
        <f t="shared" si="15"/>
        <v>1</v>
      </c>
      <c r="AE48" s="1" t="b">
        <f t="shared" si="16"/>
        <v>1</v>
      </c>
      <c r="AF48" s="1" t="str">
        <f>Partidas!W48</f>
        <v>dados_insuficientes</v>
      </c>
      <c r="AG48" s="1" t="str">
        <f>Partidas!AK48</f>
        <v>ok</v>
      </c>
      <c r="AH48" s="1" t="str">
        <f t="shared" si="17"/>
        <v>Fjelstul World Cup Database + FootyStats CSV</v>
      </c>
      <c r="AI48" s="1" t="str">
        <f>Partidas!AX48</f>
        <v>Escanteios por partida indisponiveis no CSV FootyStats desta edicao; nao preencher com estimativa.</v>
      </c>
    </row>
    <row r="49" spans="1:35" ht="15" customHeight="1">
      <c r="A49" s="1" t="str">
        <f>Partidas!C49</f>
        <v>M-2006-48</v>
      </c>
      <c r="B49" s="4">
        <f>Partidas!F49</f>
        <v>38891</v>
      </c>
      <c r="C49" s="1">
        <f>Partidas!A49</f>
        <v>2006</v>
      </c>
      <c r="D49" s="1" t="str">
        <f>Partidas!H49</f>
        <v>Togo</v>
      </c>
      <c r="E49" s="1" t="str">
        <f>Partidas!I49</f>
        <v>France</v>
      </c>
      <c r="F49" s="5">
        <f>Partidas!J49</f>
        <v>0</v>
      </c>
      <c r="G49" s="5">
        <f>Partidas!K49</f>
        <v>2</v>
      </c>
      <c r="H49" s="1" t="str">
        <f>Partidas!M49</f>
        <v>A</v>
      </c>
      <c r="I49" s="5">
        <f t="shared" si="0"/>
        <v>2</v>
      </c>
      <c r="J49" s="1" t="b">
        <f t="shared" si="1"/>
        <v>1</v>
      </c>
      <c r="K49" s="1" t="b">
        <f t="shared" si="2"/>
        <v>0</v>
      </c>
      <c r="L49" s="1" t="b">
        <f t="shared" si="3"/>
        <v>0</v>
      </c>
      <c r="M49" s="1" t="b">
        <f t="shared" si="4"/>
        <v>1</v>
      </c>
      <c r="N49" s="1" t="b">
        <f t="shared" si="5"/>
        <v>1</v>
      </c>
      <c r="O49" s="1" t="b">
        <f t="shared" si="6"/>
        <v>0</v>
      </c>
      <c r="P49" s="1" t="b">
        <f t="shared" si="7"/>
        <v>0</v>
      </c>
      <c r="Q49" s="1" t="b">
        <f t="shared" si="8"/>
        <v>1</v>
      </c>
      <c r="R49" s="1" t="b">
        <f t="shared" si="9"/>
        <v>1</v>
      </c>
      <c r="S49" s="5">
        <f>Partidas!T49</f>
        <v>0</v>
      </c>
      <c r="T49" s="5">
        <f>Partidas!U49</f>
        <v>0</v>
      </c>
      <c r="U49" s="5">
        <f t="shared" si="10"/>
        <v>0</v>
      </c>
      <c r="V49" s="5" t="b">
        <f t="shared" si="11"/>
        <v>0</v>
      </c>
      <c r="W49" s="5" t="b">
        <f t="shared" si="12"/>
        <v>0</v>
      </c>
      <c r="X49" s="5">
        <f>Partidas!X49</f>
        <v>3</v>
      </c>
      <c r="Y49" s="5">
        <f>Partidas!Y49</f>
        <v>1</v>
      </c>
      <c r="Z49" s="5">
        <f>Partidas!AG49</f>
        <v>0</v>
      </c>
      <c r="AA49" s="5">
        <f>Partidas!AH49</f>
        <v>0</v>
      </c>
      <c r="AB49" s="5">
        <f t="shared" si="13"/>
        <v>4</v>
      </c>
      <c r="AC49" s="1" t="b">
        <f t="shared" si="14"/>
        <v>1</v>
      </c>
      <c r="AD49" s="1" t="b">
        <f t="shared" si="15"/>
        <v>0</v>
      </c>
      <c r="AE49" s="1" t="b">
        <f t="shared" si="16"/>
        <v>0</v>
      </c>
      <c r="AF49" s="1" t="str">
        <f>Partidas!W49</f>
        <v>dados_insuficientes</v>
      </c>
      <c r="AG49" s="1" t="str">
        <f>Partidas!AK49</f>
        <v>ok</v>
      </c>
      <c r="AH49" s="1" t="str">
        <f t="shared" si="17"/>
        <v>Fjelstul World Cup Database + FootyStats CSV</v>
      </c>
      <c r="AI49" s="1" t="str">
        <f>Partidas!AX49</f>
        <v>Escanteios por partida indisponiveis no CSV FootyStats desta edicao; nao preencher com estimativa.</v>
      </c>
    </row>
    <row r="50" spans="1:35" ht="15" customHeight="1">
      <c r="A50" s="1" t="str">
        <f>Partidas!C50</f>
        <v>M-2006-49</v>
      </c>
      <c r="B50" s="4">
        <f>Partidas!F50</f>
        <v>38892</v>
      </c>
      <c r="C50" s="1">
        <f>Partidas!A50</f>
        <v>2006</v>
      </c>
      <c r="D50" s="1" t="str">
        <f>Partidas!H50</f>
        <v>Germany</v>
      </c>
      <c r="E50" s="1" t="str">
        <f>Partidas!I50</f>
        <v>Sweden</v>
      </c>
      <c r="F50" s="5">
        <f>Partidas!J50</f>
        <v>2</v>
      </c>
      <c r="G50" s="5">
        <f>Partidas!K50</f>
        <v>0</v>
      </c>
      <c r="H50" s="1" t="str">
        <f>Partidas!M50</f>
        <v>H</v>
      </c>
      <c r="I50" s="5">
        <f t="shared" si="0"/>
        <v>2</v>
      </c>
      <c r="J50" s="1" t="b">
        <f t="shared" si="1"/>
        <v>1</v>
      </c>
      <c r="K50" s="1" t="b">
        <f t="shared" si="2"/>
        <v>0</v>
      </c>
      <c r="L50" s="1" t="b">
        <f t="shared" si="3"/>
        <v>0</v>
      </c>
      <c r="M50" s="1" t="b">
        <f t="shared" si="4"/>
        <v>1</v>
      </c>
      <c r="N50" s="1" t="b">
        <f t="shared" si="5"/>
        <v>1</v>
      </c>
      <c r="O50" s="1" t="b">
        <f t="shared" si="6"/>
        <v>0</v>
      </c>
      <c r="P50" s="1" t="b">
        <f t="shared" si="7"/>
        <v>1</v>
      </c>
      <c r="Q50" s="1" t="b">
        <f t="shared" si="8"/>
        <v>1</v>
      </c>
      <c r="R50" s="1" t="b">
        <f t="shared" si="9"/>
        <v>0</v>
      </c>
      <c r="S50" s="5">
        <f>Partidas!T50</f>
        <v>0</v>
      </c>
      <c r="T50" s="5">
        <f>Partidas!U50</f>
        <v>0</v>
      </c>
      <c r="U50" s="5">
        <f t="shared" si="10"/>
        <v>0</v>
      </c>
      <c r="V50" s="5" t="b">
        <f t="shared" si="11"/>
        <v>0</v>
      </c>
      <c r="W50" s="5" t="b">
        <f t="shared" si="12"/>
        <v>0</v>
      </c>
      <c r="X50" s="5">
        <f>Partidas!X50</f>
        <v>1</v>
      </c>
      <c r="Y50" s="5">
        <f>Partidas!Y50</f>
        <v>3</v>
      </c>
      <c r="Z50" s="5">
        <f>Partidas!AG50</f>
        <v>0</v>
      </c>
      <c r="AA50" s="5">
        <f>Partidas!AH50</f>
        <v>1</v>
      </c>
      <c r="AB50" s="5">
        <f t="shared" si="13"/>
        <v>5</v>
      </c>
      <c r="AC50" s="1" t="b">
        <f t="shared" si="14"/>
        <v>1</v>
      </c>
      <c r="AD50" s="1" t="b">
        <f t="shared" si="15"/>
        <v>1</v>
      </c>
      <c r="AE50" s="1" t="b">
        <f t="shared" si="16"/>
        <v>0</v>
      </c>
      <c r="AF50" s="1" t="str">
        <f>Partidas!W50</f>
        <v>dados_insuficientes</v>
      </c>
      <c r="AG50" s="1" t="str">
        <f>Partidas!AK50</f>
        <v>ok</v>
      </c>
      <c r="AH50" s="1" t="str">
        <f t="shared" si="17"/>
        <v>Fjelstul World Cup Database + FootyStats CSV</v>
      </c>
      <c r="AI50" s="1" t="str">
        <f>Partidas!AX50</f>
        <v>Escanteios por partida indisponiveis no CSV FootyStats desta edicao; nao preencher com estimativa.</v>
      </c>
    </row>
    <row r="51" spans="1:35" ht="15" customHeight="1">
      <c r="A51" s="1" t="str">
        <f>Partidas!C51</f>
        <v>M-2006-50</v>
      </c>
      <c r="B51" s="4">
        <f>Partidas!F51</f>
        <v>38892</v>
      </c>
      <c r="C51" s="1">
        <f>Partidas!A51</f>
        <v>2006</v>
      </c>
      <c r="D51" s="1" t="str">
        <f>Partidas!H51</f>
        <v>Argentina</v>
      </c>
      <c r="E51" s="1" t="str">
        <f>Partidas!I51</f>
        <v>Mexico</v>
      </c>
      <c r="F51" s="5">
        <f>Partidas!J51</f>
        <v>2</v>
      </c>
      <c r="G51" s="5">
        <f>Partidas!K51</f>
        <v>1</v>
      </c>
      <c r="H51" s="1" t="str">
        <f>Partidas!M51</f>
        <v>H</v>
      </c>
      <c r="I51" s="5">
        <f t="shared" si="0"/>
        <v>3</v>
      </c>
      <c r="J51" s="1" t="b">
        <f t="shared" si="1"/>
        <v>1</v>
      </c>
      <c r="K51" s="1" t="b">
        <f t="shared" si="2"/>
        <v>1</v>
      </c>
      <c r="L51" s="1" t="b">
        <f t="shared" si="3"/>
        <v>0</v>
      </c>
      <c r="M51" s="1" t="b">
        <f t="shared" si="4"/>
        <v>0</v>
      </c>
      <c r="N51" s="1" t="b">
        <f t="shared" si="5"/>
        <v>1</v>
      </c>
      <c r="O51" s="1" t="b">
        <f t="shared" si="6"/>
        <v>1</v>
      </c>
      <c r="P51" s="1" t="b">
        <f t="shared" si="7"/>
        <v>1</v>
      </c>
      <c r="Q51" s="1" t="b">
        <f t="shared" si="8"/>
        <v>1</v>
      </c>
      <c r="R51" s="1" t="b">
        <f t="shared" si="9"/>
        <v>0</v>
      </c>
      <c r="S51" s="5">
        <f>Partidas!T51</f>
        <v>0</v>
      </c>
      <c r="T51" s="5">
        <f>Partidas!U51</f>
        <v>0</v>
      </c>
      <c r="U51" s="5">
        <f t="shared" si="10"/>
        <v>0</v>
      </c>
      <c r="V51" s="5" t="b">
        <f t="shared" si="11"/>
        <v>0</v>
      </c>
      <c r="W51" s="5" t="b">
        <f t="shared" si="12"/>
        <v>0</v>
      </c>
      <c r="X51" s="5">
        <f>Partidas!X51</f>
        <v>2</v>
      </c>
      <c r="Y51" s="5">
        <f>Partidas!Y51</f>
        <v>4</v>
      </c>
      <c r="Z51" s="5">
        <f>Partidas!AG51</f>
        <v>0</v>
      </c>
      <c r="AA51" s="5">
        <f>Partidas!AH51</f>
        <v>0</v>
      </c>
      <c r="AB51" s="5">
        <f t="shared" si="13"/>
        <v>6</v>
      </c>
      <c r="AC51" s="1" t="b">
        <f t="shared" si="14"/>
        <v>1</v>
      </c>
      <c r="AD51" s="1" t="b">
        <f t="shared" si="15"/>
        <v>1</v>
      </c>
      <c r="AE51" s="1" t="b">
        <f t="shared" si="16"/>
        <v>1</v>
      </c>
      <c r="AF51" s="1" t="str">
        <f>Partidas!W51</f>
        <v>dados_insuficientes</v>
      </c>
      <c r="AG51" s="1" t="str">
        <f>Partidas!AK51</f>
        <v>ok</v>
      </c>
      <c r="AH51" s="1" t="str">
        <f t="shared" si="17"/>
        <v>Fjelstul World Cup Database + FootyStats CSV</v>
      </c>
      <c r="AI51" s="1" t="str">
        <f>Partidas!AX51</f>
        <v>Escanteios por partida indisponiveis no CSV FootyStats desta edicao; nao preencher com estimativa.</v>
      </c>
    </row>
    <row r="52" spans="1:35" ht="15" customHeight="1">
      <c r="A52" s="1" t="str">
        <f>Partidas!C52</f>
        <v>M-2006-51</v>
      </c>
      <c r="B52" s="4">
        <f>Partidas!F52</f>
        <v>38893</v>
      </c>
      <c r="C52" s="1">
        <f>Partidas!A52</f>
        <v>2006</v>
      </c>
      <c r="D52" s="1" t="str">
        <f>Partidas!H52</f>
        <v>England</v>
      </c>
      <c r="E52" s="1" t="str">
        <f>Partidas!I52</f>
        <v>Ecuador</v>
      </c>
      <c r="F52" s="5">
        <f>Partidas!J52</f>
        <v>1</v>
      </c>
      <c r="G52" s="5">
        <f>Partidas!K52</f>
        <v>0</v>
      </c>
      <c r="H52" s="1" t="str">
        <f>Partidas!M52</f>
        <v>H</v>
      </c>
      <c r="I52" s="5">
        <f t="shared" si="0"/>
        <v>1</v>
      </c>
      <c r="J52" s="1" t="b">
        <f t="shared" si="1"/>
        <v>0</v>
      </c>
      <c r="K52" s="1" t="b">
        <f t="shared" si="2"/>
        <v>0</v>
      </c>
      <c r="L52" s="1" t="b">
        <f t="shared" si="3"/>
        <v>0</v>
      </c>
      <c r="M52" s="1" t="b">
        <f t="shared" si="4"/>
        <v>1</v>
      </c>
      <c r="N52" s="1" t="b">
        <f t="shared" si="5"/>
        <v>1</v>
      </c>
      <c r="O52" s="1" t="b">
        <f t="shared" si="6"/>
        <v>0</v>
      </c>
      <c r="P52" s="1" t="b">
        <f t="shared" si="7"/>
        <v>1</v>
      </c>
      <c r="Q52" s="1" t="b">
        <f t="shared" si="8"/>
        <v>1</v>
      </c>
      <c r="R52" s="1" t="b">
        <f t="shared" si="9"/>
        <v>0</v>
      </c>
      <c r="S52" s="5">
        <f>Partidas!T52</f>
        <v>0</v>
      </c>
      <c r="T52" s="5">
        <f>Partidas!U52</f>
        <v>0</v>
      </c>
      <c r="U52" s="5">
        <f t="shared" si="10"/>
        <v>0</v>
      </c>
      <c r="V52" s="5" t="b">
        <f t="shared" si="11"/>
        <v>0</v>
      </c>
      <c r="W52" s="5" t="b">
        <f t="shared" si="12"/>
        <v>0</v>
      </c>
      <c r="X52" s="5">
        <f>Partidas!X52</f>
        <v>3</v>
      </c>
      <c r="Y52" s="5">
        <f>Partidas!Y52</f>
        <v>3</v>
      </c>
      <c r="Z52" s="5">
        <f>Partidas!AG52</f>
        <v>0</v>
      </c>
      <c r="AA52" s="5">
        <f>Partidas!AH52</f>
        <v>0</v>
      </c>
      <c r="AB52" s="5">
        <f t="shared" si="13"/>
        <v>6</v>
      </c>
      <c r="AC52" s="1" t="b">
        <f t="shared" si="14"/>
        <v>1</v>
      </c>
      <c r="AD52" s="1" t="b">
        <f t="shared" si="15"/>
        <v>1</v>
      </c>
      <c r="AE52" s="1" t="b">
        <f t="shared" si="16"/>
        <v>1</v>
      </c>
      <c r="AF52" s="1" t="str">
        <f>Partidas!W52</f>
        <v>dados_insuficientes</v>
      </c>
      <c r="AG52" s="1" t="str">
        <f>Partidas!AK52</f>
        <v>ok</v>
      </c>
      <c r="AH52" s="1" t="str">
        <f t="shared" si="17"/>
        <v>Fjelstul World Cup Database + FootyStats CSV</v>
      </c>
      <c r="AI52" s="1" t="str">
        <f>Partidas!AX52</f>
        <v>Escanteios por partida indisponiveis no CSV FootyStats desta edicao; nao preencher com estimativa.</v>
      </c>
    </row>
    <row r="53" spans="1:35" ht="15" customHeight="1">
      <c r="A53" s="1" t="str">
        <f>Partidas!C53</f>
        <v>M-2006-52</v>
      </c>
      <c r="B53" s="4">
        <f>Partidas!F53</f>
        <v>38893</v>
      </c>
      <c r="C53" s="1">
        <f>Partidas!A53</f>
        <v>2006</v>
      </c>
      <c r="D53" s="1" t="str">
        <f>Partidas!H53</f>
        <v>Portugal</v>
      </c>
      <c r="E53" s="1" t="str">
        <f>Partidas!I53</f>
        <v>Netherlands</v>
      </c>
      <c r="F53" s="5">
        <f>Partidas!J53</f>
        <v>1</v>
      </c>
      <c r="G53" s="5">
        <f>Partidas!K53</f>
        <v>0</v>
      </c>
      <c r="H53" s="1" t="str">
        <f>Partidas!M53</f>
        <v>H</v>
      </c>
      <c r="I53" s="5">
        <f t="shared" si="0"/>
        <v>1</v>
      </c>
      <c r="J53" s="1" t="b">
        <f t="shared" si="1"/>
        <v>0</v>
      </c>
      <c r="K53" s="1" t="b">
        <f t="shared" si="2"/>
        <v>0</v>
      </c>
      <c r="L53" s="1" t="b">
        <f t="shared" si="3"/>
        <v>0</v>
      </c>
      <c r="M53" s="1" t="b">
        <f t="shared" si="4"/>
        <v>1</v>
      </c>
      <c r="N53" s="1" t="b">
        <f t="shared" si="5"/>
        <v>1</v>
      </c>
      <c r="O53" s="1" t="b">
        <f t="shared" si="6"/>
        <v>0</v>
      </c>
      <c r="P53" s="1" t="b">
        <f t="shared" si="7"/>
        <v>1</v>
      </c>
      <c r="Q53" s="1" t="b">
        <f t="shared" si="8"/>
        <v>1</v>
      </c>
      <c r="R53" s="1" t="b">
        <f t="shared" si="9"/>
        <v>0</v>
      </c>
      <c r="S53" s="5">
        <f>Partidas!T53</f>
        <v>0</v>
      </c>
      <c r="T53" s="5">
        <f>Partidas!U53</f>
        <v>0</v>
      </c>
      <c r="U53" s="5">
        <f t="shared" si="10"/>
        <v>0</v>
      </c>
      <c r="V53" s="5" t="b">
        <f t="shared" si="11"/>
        <v>0</v>
      </c>
      <c r="W53" s="5" t="b">
        <f t="shared" si="12"/>
        <v>0</v>
      </c>
      <c r="X53" s="5">
        <f>Partidas!X53</f>
        <v>7</v>
      </c>
      <c r="Y53" s="5">
        <f>Partidas!Y53</f>
        <v>5</v>
      </c>
      <c r="Z53" s="5">
        <f>Partidas!AG53</f>
        <v>2</v>
      </c>
      <c r="AA53" s="5">
        <f>Partidas!AH53</f>
        <v>2</v>
      </c>
      <c r="AB53" s="5">
        <f t="shared" si="13"/>
        <v>16</v>
      </c>
      <c r="AC53" s="1" t="b">
        <f t="shared" si="14"/>
        <v>1</v>
      </c>
      <c r="AD53" s="1" t="b">
        <f t="shared" si="15"/>
        <v>1</v>
      </c>
      <c r="AE53" s="1" t="b">
        <f t="shared" si="16"/>
        <v>1</v>
      </c>
      <c r="AF53" s="1" t="str">
        <f>Partidas!W53</f>
        <v>dados_insuficientes</v>
      </c>
      <c r="AG53" s="1" t="str">
        <f>Partidas!AK53</f>
        <v>ok</v>
      </c>
      <c r="AH53" s="1" t="str">
        <f t="shared" si="17"/>
        <v>Fjelstul World Cup Database + FootyStats CSV</v>
      </c>
      <c r="AI53" s="1" t="str">
        <f>Partidas!AX53</f>
        <v>Escanteios por partida indisponiveis no CSV FootyStats desta edicao; nao preencher com estimativa.</v>
      </c>
    </row>
    <row r="54" spans="1:35" ht="15" customHeight="1">
      <c r="A54" s="1" t="str">
        <f>Partidas!C54</f>
        <v>M-2006-53</v>
      </c>
      <c r="B54" s="4">
        <f>Partidas!F54</f>
        <v>38894</v>
      </c>
      <c r="C54" s="1">
        <f>Partidas!A54</f>
        <v>2006</v>
      </c>
      <c r="D54" s="1" t="str">
        <f>Partidas!H54</f>
        <v>Italy</v>
      </c>
      <c r="E54" s="1" t="str">
        <f>Partidas!I54</f>
        <v>Australia</v>
      </c>
      <c r="F54" s="5">
        <f>Partidas!J54</f>
        <v>1</v>
      </c>
      <c r="G54" s="5">
        <f>Partidas!K54</f>
        <v>0</v>
      </c>
      <c r="H54" s="1" t="str">
        <f>Partidas!M54</f>
        <v>H</v>
      </c>
      <c r="I54" s="5">
        <f t="shared" si="0"/>
        <v>1</v>
      </c>
      <c r="J54" s="1" t="b">
        <f t="shared" si="1"/>
        <v>0</v>
      </c>
      <c r="K54" s="1" t="b">
        <f t="shared" si="2"/>
        <v>0</v>
      </c>
      <c r="L54" s="1" t="b">
        <f t="shared" si="3"/>
        <v>0</v>
      </c>
      <c r="M54" s="1" t="b">
        <f t="shared" si="4"/>
        <v>1</v>
      </c>
      <c r="N54" s="1" t="b">
        <f t="shared" si="5"/>
        <v>1</v>
      </c>
      <c r="O54" s="1" t="b">
        <f t="shared" si="6"/>
        <v>0</v>
      </c>
      <c r="P54" s="1" t="b">
        <f t="shared" si="7"/>
        <v>1</v>
      </c>
      <c r="Q54" s="1" t="b">
        <f t="shared" si="8"/>
        <v>1</v>
      </c>
      <c r="R54" s="1" t="b">
        <f t="shared" si="9"/>
        <v>0</v>
      </c>
      <c r="S54" s="5">
        <f>Partidas!T54</f>
        <v>0</v>
      </c>
      <c r="T54" s="5">
        <f>Partidas!U54</f>
        <v>0</v>
      </c>
      <c r="U54" s="5">
        <f t="shared" si="10"/>
        <v>0</v>
      </c>
      <c r="V54" s="5" t="b">
        <f t="shared" si="11"/>
        <v>0</v>
      </c>
      <c r="W54" s="5" t="b">
        <f t="shared" si="12"/>
        <v>0</v>
      </c>
      <c r="X54" s="5">
        <f>Partidas!X54</f>
        <v>3</v>
      </c>
      <c r="Y54" s="5">
        <f>Partidas!Y54</f>
        <v>3</v>
      </c>
      <c r="Z54" s="5">
        <f>Partidas!AG54</f>
        <v>1</v>
      </c>
      <c r="AA54" s="5">
        <f>Partidas!AH54</f>
        <v>0</v>
      </c>
      <c r="AB54" s="5">
        <f t="shared" si="13"/>
        <v>7</v>
      </c>
      <c r="AC54" s="1" t="b">
        <f t="shared" si="14"/>
        <v>1</v>
      </c>
      <c r="AD54" s="1" t="b">
        <f t="shared" si="15"/>
        <v>1</v>
      </c>
      <c r="AE54" s="1" t="b">
        <f t="shared" si="16"/>
        <v>1</v>
      </c>
      <c r="AF54" s="1" t="str">
        <f>Partidas!W54</f>
        <v>dados_insuficientes</v>
      </c>
      <c r="AG54" s="1" t="str">
        <f>Partidas!AK54</f>
        <v>ok</v>
      </c>
      <c r="AH54" s="1" t="str">
        <f t="shared" si="17"/>
        <v>Fjelstul World Cup Database + FootyStats CSV</v>
      </c>
      <c r="AI54" s="1" t="str">
        <f>Partidas!AX54</f>
        <v>Escanteios por partida indisponiveis no CSV FootyStats desta edicao; nao preencher com estimativa.</v>
      </c>
    </row>
    <row r="55" spans="1:35" ht="15" customHeight="1">
      <c r="A55" s="1" t="str">
        <f>Partidas!C55</f>
        <v>M-2006-54</v>
      </c>
      <c r="B55" s="4">
        <f>Partidas!F55</f>
        <v>38894</v>
      </c>
      <c r="C55" s="1">
        <f>Partidas!A55</f>
        <v>2006</v>
      </c>
      <c r="D55" s="1" t="str">
        <f>Partidas!H55</f>
        <v>Switzerland</v>
      </c>
      <c r="E55" s="1" t="str">
        <f>Partidas!I55</f>
        <v>Ukraine</v>
      </c>
      <c r="F55" s="5">
        <f>Partidas!J55</f>
        <v>0</v>
      </c>
      <c r="G55" s="5">
        <f>Partidas!K55</f>
        <v>0</v>
      </c>
      <c r="H55" s="1" t="str">
        <f>Partidas!M55</f>
        <v>D</v>
      </c>
      <c r="I55" s="5">
        <f t="shared" si="0"/>
        <v>0</v>
      </c>
      <c r="J55" s="1" t="b">
        <f t="shared" si="1"/>
        <v>0</v>
      </c>
      <c r="K55" s="1" t="b">
        <f t="shared" si="2"/>
        <v>0</v>
      </c>
      <c r="L55" s="1" t="b">
        <f t="shared" si="3"/>
        <v>0</v>
      </c>
      <c r="M55" s="1" t="b">
        <f t="shared" si="4"/>
        <v>1</v>
      </c>
      <c r="N55" s="1" t="b">
        <f t="shared" si="5"/>
        <v>1</v>
      </c>
      <c r="O55" s="1" t="b">
        <f t="shared" si="6"/>
        <v>0</v>
      </c>
      <c r="P55" s="1" t="b">
        <f t="shared" si="7"/>
        <v>1</v>
      </c>
      <c r="Q55" s="1" t="b">
        <f t="shared" si="8"/>
        <v>0</v>
      </c>
      <c r="R55" s="1" t="b">
        <f t="shared" si="9"/>
        <v>1</v>
      </c>
      <c r="S55" s="5">
        <f>Partidas!T55</f>
        <v>0</v>
      </c>
      <c r="T55" s="5">
        <f>Partidas!U55</f>
        <v>0</v>
      </c>
      <c r="U55" s="5">
        <f t="shared" si="10"/>
        <v>0</v>
      </c>
      <c r="V55" s="5" t="b">
        <f t="shared" si="11"/>
        <v>0</v>
      </c>
      <c r="W55" s="5" t="b">
        <f t="shared" si="12"/>
        <v>0</v>
      </c>
      <c r="X55" s="5">
        <f>Partidas!X55</f>
        <v>1</v>
      </c>
      <c r="Y55" s="5">
        <f>Partidas!Y55</f>
        <v>0</v>
      </c>
      <c r="Z55" s="5">
        <f>Partidas!AG55</f>
        <v>0</v>
      </c>
      <c r="AA55" s="5">
        <f>Partidas!AH55</f>
        <v>0</v>
      </c>
      <c r="AB55" s="5">
        <f t="shared" si="13"/>
        <v>1</v>
      </c>
      <c r="AC55" s="1" t="b">
        <f t="shared" si="14"/>
        <v>0</v>
      </c>
      <c r="AD55" s="1" t="b">
        <f t="shared" si="15"/>
        <v>0</v>
      </c>
      <c r="AE55" s="1" t="b">
        <f t="shared" si="16"/>
        <v>0</v>
      </c>
      <c r="AF55" s="1" t="str">
        <f>Partidas!W55</f>
        <v>dados_insuficientes</v>
      </c>
      <c r="AG55" s="1" t="str">
        <f>Partidas!AK55</f>
        <v>ok</v>
      </c>
      <c r="AH55" s="1" t="str">
        <f t="shared" si="17"/>
        <v>Fjelstul World Cup Database + FootyStats CSV</v>
      </c>
      <c r="AI55" s="1" t="str">
        <f>Partidas!AX55</f>
        <v>Escanteios por partida indisponiveis no CSV FootyStats desta edicao; nao preencher com estimativa.</v>
      </c>
    </row>
    <row r="56" spans="1:35" ht="15" customHeight="1">
      <c r="A56" s="1" t="str">
        <f>Partidas!C56</f>
        <v>M-2006-55</v>
      </c>
      <c r="B56" s="4">
        <f>Partidas!F56</f>
        <v>38895</v>
      </c>
      <c r="C56" s="1">
        <f>Partidas!A56</f>
        <v>2006</v>
      </c>
      <c r="D56" s="1" t="str">
        <f>Partidas!H56</f>
        <v>Brazil</v>
      </c>
      <c r="E56" s="1" t="str">
        <f>Partidas!I56</f>
        <v>Ghana</v>
      </c>
      <c r="F56" s="5">
        <f>Partidas!J56</f>
        <v>3</v>
      </c>
      <c r="G56" s="5">
        <f>Partidas!K56</f>
        <v>0</v>
      </c>
      <c r="H56" s="1" t="str">
        <f>Partidas!M56</f>
        <v>H</v>
      </c>
      <c r="I56" s="5">
        <f t="shared" si="0"/>
        <v>3</v>
      </c>
      <c r="J56" s="1" t="b">
        <f t="shared" si="1"/>
        <v>1</v>
      </c>
      <c r="K56" s="1" t="b">
        <f t="shared" si="2"/>
        <v>1</v>
      </c>
      <c r="L56" s="1" t="b">
        <f t="shared" si="3"/>
        <v>0</v>
      </c>
      <c r="M56" s="1" t="b">
        <f t="shared" si="4"/>
        <v>0</v>
      </c>
      <c r="N56" s="1" t="b">
        <f t="shared" si="5"/>
        <v>1</v>
      </c>
      <c r="O56" s="1" t="b">
        <f t="shared" si="6"/>
        <v>0</v>
      </c>
      <c r="P56" s="1" t="b">
        <f t="shared" si="7"/>
        <v>1</v>
      </c>
      <c r="Q56" s="1" t="b">
        <f t="shared" si="8"/>
        <v>1</v>
      </c>
      <c r="R56" s="1" t="b">
        <f t="shared" si="9"/>
        <v>0</v>
      </c>
      <c r="S56" s="5">
        <f>Partidas!T56</f>
        <v>0</v>
      </c>
      <c r="T56" s="5">
        <f>Partidas!U56</f>
        <v>0</v>
      </c>
      <c r="U56" s="5">
        <f t="shared" si="10"/>
        <v>0</v>
      </c>
      <c r="V56" s="5" t="b">
        <f t="shared" si="11"/>
        <v>0</v>
      </c>
      <c r="W56" s="5" t="b">
        <f t="shared" si="12"/>
        <v>0</v>
      </c>
      <c r="X56" s="5">
        <f>Partidas!X56</f>
        <v>2</v>
      </c>
      <c r="Y56" s="5">
        <f>Partidas!Y56</f>
        <v>5</v>
      </c>
      <c r="Z56" s="5">
        <f>Partidas!AG56</f>
        <v>0</v>
      </c>
      <c r="AA56" s="5">
        <f>Partidas!AH56</f>
        <v>1</v>
      </c>
      <c r="AB56" s="5">
        <f t="shared" si="13"/>
        <v>8</v>
      </c>
      <c r="AC56" s="1" t="b">
        <f t="shared" si="14"/>
        <v>1</v>
      </c>
      <c r="AD56" s="1" t="b">
        <f t="shared" si="15"/>
        <v>1</v>
      </c>
      <c r="AE56" s="1" t="b">
        <f t="shared" si="16"/>
        <v>1</v>
      </c>
      <c r="AF56" s="1" t="str">
        <f>Partidas!W56</f>
        <v>dados_insuficientes</v>
      </c>
      <c r="AG56" s="1" t="str">
        <f>Partidas!AK56</f>
        <v>ok</v>
      </c>
      <c r="AH56" s="1" t="str">
        <f t="shared" si="17"/>
        <v>Fjelstul World Cup Database + FootyStats CSV</v>
      </c>
      <c r="AI56" s="1" t="str">
        <f>Partidas!AX56</f>
        <v>Escanteios por partida indisponiveis no CSV FootyStats desta edicao; nao preencher com estimativa.</v>
      </c>
    </row>
    <row r="57" spans="1:35" ht="15" customHeight="1">
      <c r="A57" s="1" t="str">
        <f>Partidas!C57</f>
        <v>M-2006-56</v>
      </c>
      <c r="B57" s="4">
        <f>Partidas!F57</f>
        <v>38895</v>
      </c>
      <c r="C57" s="1">
        <f>Partidas!A57</f>
        <v>2006</v>
      </c>
      <c r="D57" s="1" t="str">
        <f>Partidas!H57</f>
        <v>Spain</v>
      </c>
      <c r="E57" s="1" t="str">
        <f>Partidas!I57</f>
        <v>France</v>
      </c>
      <c r="F57" s="5">
        <f>Partidas!J57</f>
        <v>1</v>
      </c>
      <c r="G57" s="5">
        <f>Partidas!K57</f>
        <v>3</v>
      </c>
      <c r="H57" s="1" t="str">
        <f>Partidas!M57</f>
        <v>A</v>
      </c>
      <c r="I57" s="5">
        <f t="shared" si="0"/>
        <v>4</v>
      </c>
      <c r="J57" s="1" t="b">
        <f t="shared" si="1"/>
        <v>1</v>
      </c>
      <c r="K57" s="1" t="b">
        <f t="shared" si="2"/>
        <v>1</v>
      </c>
      <c r="L57" s="1" t="b">
        <f t="shared" si="3"/>
        <v>1</v>
      </c>
      <c r="M57" s="1" t="b">
        <f t="shared" si="4"/>
        <v>0</v>
      </c>
      <c r="N57" s="1" t="b">
        <f t="shared" si="5"/>
        <v>0</v>
      </c>
      <c r="O57" s="1" t="b">
        <f t="shared" si="6"/>
        <v>1</v>
      </c>
      <c r="P57" s="1" t="b">
        <f t="shared" si="7"/>
        <v>0</v>
      </c>
      <c r="Q57" s="1" t="b">
        <f t="shared" si="8"/>
        <v>1</v>
      </c>
      <c r="R57" s="1" t="b">
        <f t="shared" si="9"/>
        <v>1</v>
      </c>
      <c r="S57" s="5">
        <f>Partidas!T57</f>
        <v>0</v>
      </c>
      <c r="T57" s="5">
        <f>Partidas!U57</f>
        <v>0</v>
      </c>
      <c r="U57" s="5">
        <f t="shared" si="10"/>
        <v>0</v>
      </c>
      <c r="V57" s="5" t="b">
        <f t="shared" si="11"/>
        <v>0</v>
      </c>
      <c r="W57" s="5" t="b">
        <f t="shared" si="12"/>
        <v>0</v>
      </c>
      <c r="X57" s="5">
        <f>Partidas!X57</f>
        <v>1</v>
      </c>
      <c r="Y57" s="5">
        <f>Partidas!Y57</f>
        <v>3</v>
      </c>
      <c r="Z57" s="5">
        <f>Partidas!AG57</f>
        <v>0</v>
      </c>
      <c r="AA57" s="5">
        <f>Partidas!AH57</f>
        <v>0</v>
      </c>
      <c r="AB57" s="5">
        <f t="shared" si="13"/>
        <v>4</v>
      </c>
      <c r="AC57" s="1" t="b">
        <f t="shared" si="14"/>
        <v>1</v>
      </c>
      <c r="AD57" s="1" t="b">
        <f t="shared" si="15"/>
        <v>0</v>
      </c>
      <c r="AE57" s="1" t="b">
        <f t="shared" si="16"/>
        <v>0</v>
      </c>
      <c r="AF57" s="1" t="str">
        <f>Partidas!W57</f>
        <v>dados_insuficientes</v>
      </c>
      <c r="AG57" s="1" t="str">
        <f>Partidas!AK57</f>
        <v>ok</v>
      </c>
      <c r="AH57" s="1" t="str">
        <f t="shared" si="17"/>
        <v>Fjelstul World Cup Database + FootyStats CSV</v>
      </c>
      <c r="AI57" s="1" t="str">
        <f>Partidas!AX57</f>
        <v>Escanteios por partida indisponiveis no CSV FootyStats desta edicao; nao preencher com estimativa.</v>
      </c>
    </row>
    <row r="58" spans="1:35" ht="15" customHeight="1">
      <c r="A58" s="1" t="str">
        <f>Partidas!C58</f>
        <v>M-2006-57</v>
      </c>
      <c r="B58" s="4">
        <f>Partidas!F58</f>
        <v>38898</v>
      </c>
      <c r="C58" s="1">
        <f>Partidas!A58</f>
        <v>2006</v>
      </c>
      <c r="D58" s="1" t="str">
        <f>Partidas!H58</f>
        <v>Germany</v>
      </c>
      <c r="E58" s="1" t="str">
        <f>Partidas!I58</f>
        <v>Argentina</v>
      </c>
      <c r="F58" s="5">
        <f>Partidas!J58</f>
        <v>1</v>
      </c>
      <c r="G58" s="5">
        <f>Partidas!K58</f>
        <v>1</v>
      </c>
      <c r="H58" s="1" t="str">
        <f>Partidas!M58</f>
        <v>D</v>
      </c>
      <c r="I58" s="5">
        <f t="shared" si="0"/>
        <v>2</v>
      </c>
      <c r="J58" s="1" t="b">
        <f t="shared" si="1"/>
        <v>1</v>
      </c>
      <c r="K58" s="1" t="b">
        <f t="shared" si="2"/>
        <v>0</v>
      </c>
      <c r="L58" s="1" t="b">
        <f t="shared" si="3"/>
        <v>0</v>
      </c>
      <c r="M58" s="1" t="b">
        <f t="shared" si="4"/>
        <v>1</v>
      </c>
      <c r="N58" s="1" t="b">
        <f t="shared" si="5"/>
        <v>1</v>
      </c>
      <c r="O58" s="1" t="b">
        <f t="shared" si="6"/>
        <v>1</v>
      </c>
      <c r="P58" s="1" t="b">
        <f t="shared" si="7"/>
        <v>1</v>
      </c>
      <c r="Q58" s="1" t="b">
        <f t="shared" si="8"/>
        <v>0</v>
      </c>
      <c r="R58" s="1" t="b">
        <f t="shared" si="9"/>
        <v>1</v>
      </c>
      <c r="S58" s="5">
        <f>Partidas!T58</f>
        <v>0</v>
      </c>
      <c r="T58" s="5">
        <f>Partidas!U58</f>
        <v>0</v>
      </c>
      <c r="U58" s="5">
        <f t="shared" si="10"/>
        <v>0</v>
      </c>
      <c r="V58" s="5" t="b">
        <f t="shared" si="11"/>
        <v>0</v>
      </c>
      <c r="W58" s="5" t="b">
        <f t="shared" si="12"/>
        <v>0</v>
      </c>
      <c r="X58" s="5">
        <f>Partidas!X58</f>
        <v>3</v>
      </c>
      <c r="Y58" s="5">
        <f>Partidas!Y58</f>
        <v>4</v>
      </c>
      <c r="Z58" s="5">
        <f>Partidas!AG58</f>
        <v>0</v>
      </c>
      <c r="AA58" s="5">
        <f>Partidas!AH58</f>
        <v>1</v>
      </c>
      <c r="AB58" s="5">
        <f t="shared" si="13"/>
        <v>8</v>
      </c>
      <c r="AC58" s="1" t="b">
        <f t="shared" si="14"/>
        <v>1</v>
      </c>
      <c r="AD58" s="1" t="b">
        <f t="shared" si="15"/>
        <v>1</v>
      </c>
      <c r="AE58" s="1" t="b">
        <f t="shared" si="16"/>
        <v>1</v>
      </c>
      <c r="AF58" s="1" t="str">
        <f>Partidas!W58</f>
        <v>dados_insuficientes</v>
      </c>
      <c r="AG58" s="1" t="str">
        <f>Partidas!AK58</f>
        <v>ok</v>
      </c>
      <c r="AH58" s="1" t="str">
        <f t="shared" si="17"/>
        <v>Fjelstul World Cup Database + FootyStats CSV</v>
      </c>
      <c r="AI58" s="1" t="str">
        <f>Partidas!AX58</f>
        <v>Escanteios por partida indisponiveis no CSV FootyStats desta edicao; nao preencher com estimativa.</v>
      </c>
    </row>
    <row r="59" spans="1:35" ht="15" customHeight="1">
      <c r="A59" s="1" t="str">
        <f>Partidas!C59</f>
        <v>M-2006-58</v>
      </c>
      <c r="B59" s="4">
        <f>Partidas!F59</f>
        <v>38898</v>
      </c>
      <c r="C59" s="1">
        <f>Partidas!A59</f>
        <v>2006</v>
      </c>
      <c r="D59" s="1" t="str">
        <f>Partidas!H59</f>
        <v>Italy</v>
      </c>
      <c r="E59" s="1" t="str">
        <f>Partidas!I59</f>
        <v>Ukraine</v>
      </c>
      <c r="F59" s="5">
        <f>Partidas!J59</f>
        <v>3</v>
      </c>
      <c r="G59" s="5">
        <f>Partidas!K59</f>
        <v>0</v>
      </c>
      <c r="H59" s="1" t="str">
        <f>Partidas!M59</f>
        <v>H</v>
      </c>
      <c r="I59" s="5">
        <f t="shared" si="0"/>
        <v>3</v>
      </c>
      <c r="J59" s="1" t="b">
        <f t="shared" si="1"/>
        <v>1</v>
      </c>
      <c r="K59" s="1" t="b">
        <f t="shared" si="2"/>
        <v>1</v>
      </c>
      <c r="L59" s="1" t="b">
        <f t="shared" si="3"/>
        <v>0</v>
      </c>
      <c r="M59" s="1" t="b">
        <f t="shared" si="4"/>
        <v>0</v>
      </c>
      <c r="N59" s="1" t="b">
        <f t="shared" si="5"/>
        <v>1</v>
      </c>
      <c r="O59" s="1" t="b">
        <f t="shared" si="6"/>
        <v>0</v>
      </c>
      <c r="P59" s="1" t="b">
        <f t="shared" si="7"/>
        <v>1</v>
      </c>
      <c r="Q59" s="1" t="b">
        <f t="shared" si="8"/>
        <v>1</v>
      </c>
      <c r="R59" s="1" t="b">
        <f t="shared" si="9"/>
        <v>0</v>
      </c>
      <c r="S59" s="5">
        <f>Partidas!T59</f>
        <v>0</v>
      </c>
      <c r="T59" s="5">
        <f>Partidas!U59</f>
        <v>0</v>
      </c>
      <c r="U59" s="5">
        <f t="shared" si="10"/>
        <v>0</v>
      </c>
      <c r="V59" s="5" t="b">
        <f t="shared" si="11"/>
        <v>0</v>
      </c>
      <c r="W59" s="5" t="b">
        <f t="shared" si="12"/>
        <v>0</v>
      </c>
      <c r="X59" s="5">
        <f>Partidas!X59</f>
        <v>0</v>
      </c>
      <c r="Y59" s="5">
        <f>Partidas!Y59</f>
        <v>3</v>
      </c>
      <c r="Z59" s="5">
        <f>Partidas!AG59</f>
        <v>0</v>
      </c>
      <c r="AA59" s="5">
        <f>Partidas!AH59</f>
        <v>0</v>
      </c>
      <c r="AB59" s="5">
        <f t="shared" si="13"/>
        <v>3</v>
      </c>
      <c r="AC59" s="1" t="b">
        <f t="shared" si="14"/>
        <v>0</v>
      </c>
      <c r="AD59" s="1" t="b">
        <f t="shared" si="15"/>
        <v>0</v>
      </c>
      <c r="AE59" s="1" t="b">
        <f t="shared" si="16"/>
        <v>0</v>
      </c>
      <c r="AF59" s="1" t="str">
        <f>Partidas!W59</f>
        <v>dados_insuficientes</v>
      </c>
      <c r="AG59" s="1" t="str">
        <f>Partidas!AK59</f>
        <v>ok</v>
      </c>
      <c r="AH59" s="1" t="str">
        <f t="shared" si="17"/>
        <v>Fjelstul World Cup Database + FootyStats CSV</v>
      </c>
      <c r="AI59" s="1" t="str">
        <f>Partidas!AX59</f>
        <v>Escanteios por partida indisponiveis no CSV FootyStats desta edicao; nao preencher com estimativa.</v>
      </c>
    </row>
    <row r="60" spans="1:35" ht="15" customHeight="1">
      <c r="A60" s="1" t="str">
        <f>Partidas!C60</f>
        <v>M-2006-59</v>
      </c>
      <c r="B60" s="4">
        <f>Partidas!F60</f>
        <v>38899</v>
      </c>
      <c r="C60" s="1">
        <f>Partidas!A60</f>
        <v>2006</v>
      </c>
      <c r="D60" s="1" t="str">
        <f>Partidas!H60</f>
        <v>England</v>
      </c>
      <c r="E60" s="1" t="str">
        <f>Partidas!I60</f>
        <v>Portugal</v>
      </c>
      <c r="F60" s="5">
        <f>Partidas!J60</f>
        <v>0</v>
      </c>
      <c r="G60" s="5">
        <f>Partidas!K60</f>
        <v>0</v>
      </c>
      <c r="H60" s="1" t="str">
        <f>Partidas!M60</f>
        <v>D</v>
      </c>
      <c r="I60" s="5">
        <f t="shared" si="0"/>
        <v>0</v>
      </c>
      <c r="J60" s="1" t="b">
        <f t="shared" si="1"/>
        <v>0</v>
      </c>
      <c r="K60" s="1" t="b">
        <f t="shared" si="2"/>
        <v>0</v>
      </c>
      <c r="L60" s="1" t="b">
        <f t="shared" si="3"/>
        <v>0</v>
      </c>
      <c r="M60" s="1" t="b">
        <f t="shared" si="4"/>
        <v>1</v>
      </c>
      <c r="N60" s="1" t="b">
        <f t="shared" si="5"/>
        <v>1</v>
      </c>
      <c r="O60" s="1" t="b">
        <f t="shared" si="6"/>
        <v>0</v>
      </c>
      <c r="P60" s="1" t="b">
        <f t="shared" si="7"/>
        <v>1</v>
      </c>
      <c r="Q60" s="1" t="b">
        <f t="shared" si="8"/>
        <v>0</v>
      </c>
      <c r="R60" s="1" t="b">
        <f t="shared" si="9"/>
        <v>1</v>
      </c>
      <c r="S60" s="5">
        <f>Partidas!T60</f>
        <v>0</v>
      </c>
      <c r="T60" s="5">
        <f>Partidas!U60</f>
        <v>0</v>
      </c>
      <c r="U60" s="5">
        <f t="shared" si="10"/>
        <v>0</v>
      </c>
      <c r="V60" s="5" t="b">
        <f t="shared" si="11"/>
        <v>0</v>
      </c>
      <c r="W60" s="5" t="b">
        <f t="shared" si="12"/>
        <v>0</v>
      </c>
      <c r="X60" s="5">
        <f>Partidas!X60</f>
        <v>2</v>
      </c>
      <c r="Y60" s="5">
        <f>Partidas!Y60</f>
        <v>2</v>
      </c>
      <c r="Z60" s="5">
        <f>Partidas!AG60</f>
        <v>1</v>
      </c>
      <c r="AA60" s="5">
        <f>Partidas!AH60</f>
        <v>0</v>
      </c>
      <c r="AB60" s="5">
        <f t="shared" si="13"/>
        <v>5</v>
      </c>
      <c r="AC60" s="1" t="b">
        <f t="shared" si="14"/>
        <v>1</v>
      </c>
      <c r="AD60" s="1" t="b">
        <f t="shared" si="15"/>
        <v>1</v>
      </c>
      <c r="AE60" s="1" t="b">
        <f t="shared" si="16"/>
        <v>0</v>
      </c>
      <c r="AF60" s="1" t="str">
        <f>Partidas!W60</f>
        <v>dados_insuficientes</v>
      </c>
      <c r="AG60" s="1" t="str">
        <f>Partidas!AK60</f>
        <v>ok</v>
      </c>
      <c r="AH60" s="1" t="str">
        <f t="shared" si="17"/>
        <v>Fjelstul World Cup Database + FootyStats CSV</v>
      </c>
      <c r="AI60" s="1" t="str">
        <f>Partidas!AX60</f>
        <v>Escanteios por partida indisponiveis no CSV FootyStats desta edicao; nao preencher com estimativa.</v>
      </c>
    </row>
    <row r="61" spans="1:35" ht="15" customHeight="1">
      <c r="A61" s="1" t="str">
        <f>Partidas!C61</f>
        <v>M-2006-60</v>
      </c>
      <c r="B61" s="4">
        <f>Partidas!F61</f>
        <v>38899</v>
      </c>
      <c r="C61" s="1">
        <f>Partidas!A61</f>
        <v>2006</v>
      </c>
      <c r="D61" s="1" t="str">
        <f>Partidas!H61</f>
        <v>Brazil</v>
      </c>
      <c r="E61" s="1" t="str">
        <f>Partidas!I61</f>
        <v>France</v>
      </c>
      <c r="F61" s="5">
        <f>Partidas!J61</f>
        <v>0</v>
      </c>
      <c r="G61" s="5">
        <f>Partidas!K61</f>
        <v>1</v>
      </c>
      <c r="H61" s="1" t="str">
        <f>Partidas!M61</f>
        <v>A</v>
      </c>
      <c r="I61" s="5">
        <f t="shared" si="0"/>
        <v>1</v>
      </c>
      <c r="J61" s="1" t="b">
        <f t="shared" si="1"/>
        <v>0</v>
      </c>
      <c r="K61" s="1" t="b">
        <f t="shared" si="2"/>
        <v>0</v>
      </c>
      <c r="L61" s="1" t="b">
        <f t="shared" si="3"/>
        <v>0</v>
      </c>
      <c r="M61" s="1" t="b">
        <f t="shared" si="4"/>
        <v>1</v>
      </c>
      <c r="N61" s="1" t="b">
        <f t="shared" si="5"/>
        <v>1</v>
      </c>
      <c r="O61" s="1" t="b">
        <f t="shared" si="6"/>
        <v>0</v>
      </c>
      <c r="P61" s="1" t="b">
        <f t="shared" si="7"/>
        <v>0</v>
      </c>
      <c r="Q61" s="1" t="b">
        <f t="shared" si="8"/>
        <v>1</v>
      </c>
      <c r="R61" s="1" t="b">
        <f t="shared" si="9"/>
        <v>1</v>
      </c>
      <c r="S61" s="5">
        <f>Partidas!T61</f>
        <v>0</v>
      </c>
      <c r="T61" s="5">
        <f>Partidas!U61</f>
        <v>0</v>
      </c>
      <c r="U61" s="5">
        <f t="shared" si="10"/>
        <v>0</v>
      </c>
      <c r="V61" s="5" t="b">
        <f t="shared" si="11"/>
        <v>0</v>
      </c>
      <c r="W61" s="5" t="b">
        <f t="shared" si="12"/>
        <v>0</v>
      </c>
      <c r="X61" s="5">
        <f>Partidas!X61</f>
        <v>4</v>
      </c>
      <c r="Y61" s="5">
        <f>Partidas!Y61</f>
        <v>3</v>
      </c>
      <c r="Z61" s="5">
        <f>Partidas!AG61</f>
        <v>0</v>
      </c>
      <c r="AA61" s="5">
        <f>Partidas!AH61</f>
        <v>0</v>
      </c>
      <c r="AB61" s="5">
        <f t="shared" si="13"/>
        <v>7</v>
      </c>
      <c r="AC61" s="1" t="b">
        <f t="shared" si="14"/>
        <v>1</v>
      </c>
      <c r="AD61" s="1" t="b">
        <f t="shared" si="15"/>
        <v>1</v>
      </c>
      <c r="AE61" s="1" t="b">
        <f t="shared" si="16"/>
        <v>1</v>
      </c>
      <c r="AF61" s="1" t="str">
        <f>Partidas!W61</f>
        <v>dados_insuficientes</v>
      </c>
      <c r="AG61" s="1" t="str">
        <f>Partidas!AK61</f>
        <v>ok</v>
      </c>
      <c r="AH61" s="1" t="str">
        <f t="shared" si="17"/>
        <v>Fjelstul World Cup Database + FootyStats CSV</v>
      </c>
      <c r="AI61" s="1" t="str">
        <f>Partidas!AX61</f>
        <v>Escanteios por partida indisponiveis no CSV FootyStats desta edicao; nao preencher com estimativa.</v>
      </c>
    </row>
    <row r="62" spans="1:35" ht="15" customHeight="1">
      <c r="A62" s="1" t="str">
        <f>Partidas!C62</f>
        <v>M-2006-61</v>
      </c>
      <c r="B62" s="4">
        <f>Partidas!F62</f>
        <v>38902</v>
      </c>
      <c r="C62" s="1">
        <f>Partidas!A62</f>
        <v>2006</v>
      </c>
      <c r="D62" s="1" t="str">
        <f>Partidas!H62</f>
        <v>Germany</v>
      </c>
      <c r="E62" s="1" t="str">
        <f>Partidas!I62</f>
        <v>Italy</v>
      </c>
      <c r="F62" s="5">
        <f>Partidas!J62</f>
        <v>0</v>
      </c>
      <c r="G62" s="5">
        <f>Partidas!K62</f>
        <v>2</v>
      </c>
      <c r="H62" s="1" t="str">
        <f>Partidas!M62</f>
        <v>A</v>
      </c>
      <c r="I62" s="5">
        <f t="shared" si="0"/>
        <v>2</v>
      </c>
      <c r="J62" s="1" t="b">
        <f t="shared" si="1"/>
        <v>1</v>
      </c>
      <c r="K62" s="1" t="b">
        <f t="shared" si="2"/>
        <v>0</v>
      </c>
      <c r="L62" s="1" t="b">
        <f t="shared" si="3"/>
        <v>0</v>
      </c>
      <c r="M62" s="1" t="b">
        <f t="shared" si="4"/>
        <v>1</v>
      </c>
      <c r="N62" s="1" t="b">
        <f t="shared" si="5"/>
        <v>1</v>
      </c>
      <c r="O62" s="1" t="b">
        <f t="shared" si="6"/>
        <v>0</v>
      </c>
      <c r="P62" s="1" t="b">
        <f t="shared" si="7"/>
        <v>0</v>
      </c>
      <c r="Q62" s="1" t="b">
        <f t="shared" si="8"/>
        <v>1</v>
      </c>
      <c r="R62" s="1" t="b">
        <f t="shared" si="9"/>
        <v>1</v>
      </c>
      <c r="S62" s="5">
        <f>Partidas!T62</f>
        <v>0</v>
      </c>
      <c r="T62" s="5">
        <f>Partidas!U62</f>
        <v>0</v>
      </c>
      <c r="U62" s="5">
        <f t="shared" si="10"/>
        <v>0</v>
      </c>
      <c r="V62" s="5" t="b">
        <f t="shared" si="11"/>
        <v>0</v>
      </c>
      <c r="W62" s="5" t="b">
        <f t="shared" si="12"/>
        <v>0</v>
      </c>
      <c r="X62" s="5">
        <f>Partidas!X62</f>
        <v>2</v>
      </c>
      <c r="Y62" s="5">
        <f>Partidas!Y62</f>
        <v>1</v>
      </c>
      <c r="Z62" s="5">
        <f>Partidas!AG62</f>
        <v>0</v>
      </c>
      <c r="AA62" s="5">
        <f>Partidas!AH62</f>
        <v>0</v>
      </c>
      <c r="AB62" s="5">
        <f t="shared" si="13"/>
        <v>3</v>
      </c>
      <c r="AC62" s="1" t="b">
        <f t="shared" si="14"/>
        <v>0</v>
      </c>
      <c r="AD62" s="1" t="b">
        <f t="shared" si="15"/>
        <v>0</v>
      </c>
      <c r="AE62" s="1" t="b">
        <f t="shared" si="16"/>
        <v>0</v>
      </c>
      <c r="AF62" s="1" t="str">
        <f>Partidas!W62</f>
        <v>dados_insuficientes</v>
      </c>
      <c r="AG62" s="1" t="str">
        <f>Partidas!AK62</f>
        <v>ok</v>
      </c>
      <c r="AH62" s="1" t="str">
        <f t="shared" si="17"/>
        <v>Fjelstul World Cup Database + FootyStats CSV</v>
      </c>
      <c r="AI62" s="1" t="str">
        <f>Partidas!AX62</f>
        <v>Escanteios por partida indisponiveis no CSV FootyStats desta edicao; nao preencher com estimativa.</v>
      </c>
    </row>
    <row r="63" spans="1:35" ht="15" customHeight="1">
      <c r="A63" s="1" t="str">
        <f>Partidas!C63</f>
        <v>M-2006-62</v>
      </c>
      <c r="B63" s="4">
        <f>Partidas!F63</f>
        <v>38903</v>
      </c>
      <c r="C63" s="1">
        <f>Partidas!A63</f>
        <v>2006</v>
      </c>
      <c r="D63" s="1" t="str">
        <f>Partidas!H63</f>
        <v>Portugal</v>
      </c>
      <c r="E63" s="1" t="str">
        <f>Partidas!I63</f>
        <v>France</v>
      </c>
      <c r="F63" s="5">
        <f>Partidas!J63</f>
        <v>0</v>
      </c>
      <c r="G63" s="5">
        <f>Partidas!K63</f>
        <v>1</v>
      </c>
      <c r="H63" s="1" t="str">
        <f>Partidas!M63</f>
        <v>A</v>
      </c>
      <c r="I63" s="5">
        <f t="shared" si="0"/>
        <v>1</v>
      </c>
      <c r="J63" s="1" t="b">
        <f t="shared" si="1"/>
        <v>0</v>
      </c>
      <c r="K63" s="1" t="b">
        <f t="shared" si="2"/>
        <v>0</v>
      </c>
      <c r="L63" s="1" t="b">
        <f t="shared" si="3"/>
        <v>0</v>
      </c>
      <c r="M63" s="1" t="b">
        <f t="shared" si="4"/>
        <v>1</v>
      </c>
      <c r="N63" s="1" t="b">
        <f t="shared" si="5"/>
        <v>1</v>
      </c>
      <c r="O63" s="1" t="b">
        <f t="shared" si="6"/>
        <v>0</v>
      </c>
      <c r="P63" s="1" t="b">
        <f t="shared" si="7"/>
        <v>0</v>
      </c>
      <c r="Q63" s="1" t="b">
        <f t="shared" si="8"/>
        <v>1</v>
      </c>
      <c r="R63" s="1" t="b">
        <f t="shared" si="9"/>
        <v>1</v>
      </c>
      <c r="S63" s="5">
        <f>Partidas!T63</f>
        <v>0</v>
      </c>
      <c r="T63" s="5">
        <f>Partidas!U63</f>
        <v>0</v>
      </c>
      <c r="U63" s="5">
        <f t="shared" si="10"/>
        <v>0</v>
      </c>
      <c r="V63" s="5" t="b">
        <f t="shared" si="11"/>
        <v>0</v>
      </c>
      <c r="W63" s="5" t="b">
        <f t="shared" si="12"/>
        <v>0</v>
      </c>
      <c r="X63" s="5">
        <f>Partidas!X63</f>
        <v>1</v>
      </c>
      <c r="Y63" s="5">
        <f>Partidas!Y63</f>
        <v>1</v>
      </c>
      <c r="Z63" s="5">
        <f>Partidas!AG63</f>
        <v>0</v>
      </c>
      <c r="AA63" s="5">
        <f>Partidas!AH63</f>
        <v>0</v>
      </c>
      <c r="AB63" s="5">
        <f t="shared" si="13"/>
        <v>2</v>
      </c>
      <c r="AC63" s="1" t="b">
        <f t="shared" si="14"/>
        <v>0</v>
      </c>
      <c r="AD63" s="1" t="b">
        <f t="shared" si="15"/>
        <v>0</v>
      </c>
      <c r="AE63" s="1" t="b">
        <f t="shared" si="16"/>
        <v>0</v>
      </c>
      <c r="AF63" s="1" t="str">
        <f>Partidas!W63</f>
        <v>dados_insuficientes</v>
      </c>
      <c r="AG63" s="1" t="str">
        <f>Partidas!AK63</f>
        <v>ok</v>
      </c>
      <c r="AH63" s="1" t="str">
        <f t="shared" si="17"/>
        <v>Fjelstul World Cup Database + FootyStats CSV</v>
      </c>
      <c r="AI63" s="1" t="str">
        <f>Partidas!AX63</f>
        <v>Escanteios por partida indisponiveis no CSV FootyStats desta edicao; nao preencher com estimativa.</v>
      </c>
    </row>
    <row r="64" spans="1:35" ht="15" customHeight="1">
      <c r="A64" s="1" t="str">
        <f>Partidas!C64</f>
        <v>M-2006-63</v>
      </c>
      <c r="B64" s="4">
        <f>Partidas!F64</f>
        <v>38906</v>
      </c>
      <c r="C64" s="1">
        <f>Partidas!A64</f>
        <v>2006</v>
      </c>
      <c r="D64" s="1" t="str">
        <f>Partidas!H64</f>
        <v>Germany</v>
      </c>
      <c r="E64" s="1" t="str">
        <f>Partidas!I64</f>
        <v>Portugal</v>
      </c>
      <c r="F64" s="5">
        <f>Partidas!J64</f>
        <v>3</v>
      </c>
      <c r="G64" s="5">
        <f>Partidas!K64</f>
        <v>1</v>
      </c>
      <c r="H64" s="1" t="str">
        <f>Partidas!M64</f>
        <v>H</v>
      </c>
      <c r="I64" s="5">
        <f t="shared" si="0"/>
        <v>4</v>
      </c>
      <c r="J64" s="1" t="b">
        <f t="shared" si="1"/>
        <v>1</v>
      </c>
      <c r="K64" s="1" t="b">
        <f t="shared" si="2"/>
        <v>1</v>
      </c>
      <c r="L64" s="1" t="b">
        <f t="shared" si="3"/>
        <v>1</v>
      </c>
      <c r="M64" s="1" t="b">
        <f t="shared" si="4"/>
        <v>0</v>
      </c>
      <c r="N64" s="1" t="b">
        <f t="shared" si="5"/>
        <v>0</v>
      </c>
      <c r="O64" s="1" t="b">
        <f t="shared" si="6"/>
        <v>1</v>
      </c>
      <c r="P64" s="1" t="b">
        <f t="shared" si="7"/>
        <v>1</v>
      </c>
      <c r="Q64" s="1" t="b">
        <f t="shared" si="8"/>
        <v>1</v>
      </c>
      <c r="R64" s="1" t="b">
        <f t="shared" si="9"/>
        <v>0</v>
      </c>
      <c r="S64" s="5">
        <f>Partidas!T64</f>
        <v>0</v>
      </c>
      <c r="T64" s="5">
        <f>Partidas!U64</f>
        <v>0</v>
      </c>
      <c r="U64" s="5">
        <f t="shared" si="10"/>
        <v>0</v>
      </c>
      <c r="V64" s="5" t="b">
        <f t="shared" si="11"/>
        <v>0</v>
      </c>
      <c r="W64" s="5" t="b">
        <f t="shared" si="12"/>
        <v>0</v>
      </c>
      <c r="X64" s="5">
        <f>Partidas!X64</f>
        <v>2</v>
      </c>
      <c r="Y64" s="5">
        <f>Partidas!Y64</f>
        <v>3</v>
      </c>
      <c r="Z64" s="5">
        <f>Partidas!AG64</f>
        <v>0</v>
      </c>
      <c r="AA64" s="5">
        <f>Partidas!AH64</f>
        <v>0</v>
      </c>
      <c r="AB64" s="5">
        <f t="shared" si="13"/>
        <v>5</v>
      </c>
      <c r="AC64" s="1" t="b">
        <f t="shared" si="14"/>
        <v>1</v>
      </c>
      <c r="AD64" s="1" t="b">
        <f t="shared" si="15"/>
        <v>1</v>
      </c>
      <c r="AE64" s="1" t="b">
        <f t="shared" si="16"/>
        <v>0</v>
      </c>
      <c r="AF64" s="1" t="str">
        <f>Partidas!W64</f>
        <v>dados_insuficientes</v>
      </c>
      <c r="AG64" s="1" t="str">
        <f>Partidas!AK64</f>
        <v>ok</v>
      </c>
      <c r="AH64" s="1" t="str">
        <f t="shared" si="17"/>
        <v>Fjelstul World Cup Database + FootyStats CSV</v>
      </c>
      <c r="AI64" s="1" t="str">
        <f>Partidas!AX64</f>
        <v>Escanteios por partida indisponiveis no CSV FootyStats desta edicao; nao preencher com estimativa.</v>
      </c>
    </row>
    <row r="65" spans="1:35" ht="15" customHeight="1">
      <c r="A65" s="1" t="str">
        <f>Partidas!C65</f>
        <v>M-2006-64</v>
      </c>
      <c r="B65" s="4">
        <f>Partidas!F65</f>
        <v>38907</v>
      </c>
      <c r="C65" s="1">
        <f>Partidas!A65</f>
        <v>2006</v>
      </c>
      <c r="D65" s="1" t="str">
        <f>Partidas!H65</f>
        <v>Italy</v>
      </c>
      <c r="E65" s="1" t="str">
        <f>Partidas!I65</f>
        <v>France</v>
      </c>
      <c r="F65" s="5">
        <f>Partidas!J65</f>
        <v>1</v>
      </c>
      <c r="G65" s="5">
        <f>Partidas!K65</f>
        <v>1</v>
      </c>
      <c r="H65" s="1" t="str">
        <f>Partidas!M65</f>
        <v>D</v>
      </c>
      <c r="I65" s="5">
        <f t="shared" si="0"/>
        <v>2</v>
      </c>
      <c r="J65" s="1" t="b">
        <f t="shared" si="1"/>
        <v>1</v>
      </c>
      <c r="K65" s="1" t="b">
        <f t="shared" si="2"/>
        <v>0</v>
      </c>
      <c r="L65" s="1" t="b">
        <f t="shared" si="3"/>
        <v>0</v>
      </c>
      <c r="M65" s="1" t="b">
        <f t="shared" si="4"/>
        <v>1</v>
      </c>
      <c r="N65" s="1" t="b">
        <f t="shared" si="5"/>
        <v>1</v>
      </c>
      <c r="O65" s="1" t="b">
        <f t="shared" si="6"/>
        <v>1</v>
      </c>
      <c r="P65" s="1" t="b">
        <f t="shared" si="7"/>
        <v>1</v>
      </c>
      <c r="Q65" s="1" t="b">
        <f t="shared" si="8"/>
        <v>0</v>
      </c>
      <c r="R65" s="1" t="b">
        <f t="shared" si="9"/>
        <v>1</v>
      </c>
      <c r="S65" s="5">
        <f>Partidas!T65</f>
        <v>0</v>
      </c>
      <c r="T65" s="5">
        <f>Partidas!U65</f>
        <v>0</v>
      </c>
      <c r="U65" s="5">
        <f t="shared" si="10"/>
        <v>0</v>
      </c>
      <c r="V65" s="5" t="b">
        <f t="shared" si="11"/>
        <v>0</v>
      </c>
      <c r="W65" s="5" t="b">
        <f t="shared" si="12"/>
        <v>0</v>
      </c>
      <c r="X65" s="5">
        <f>Partidas!X65</f>
        <v>1</v>
      </c>
      <c r="Y65" s="5">
        <f>Partidas!Y65</f>
        <v>3</v>
      </c>
      <c r="Z65" s="5">
        <f>Partidas!AG65</f>
        <v>0</v>
      </c>
      <c r="AA65" s="5">
        <f>Partidas!AH65</f>
        <v>1</v>
      </c>
      <c r="AB65" s="5">
        <f t="shared" si="13"/>
        <v>5</v>
      </c>
      <c r="AC65" s="1" t="b">
        <f t="shared" si="14"/>
        <v>1</v>
      </c>
      <c r="AD65" s="1" t="b">
        <f t="shared" si="15"/>
        <v>1</v>
      </c>
      <c r="AE65" s="1" t="b">
        <f t="shared" si="16"/>
        <v>0</v>
      </c>
      <c r="AF65" s="1" t="str">
        <f>Partidas!W65</f>
        <v>dados_insuficientes</v>
      </c>
      <c r="AG65" s="1" t="str">
        <f>Partidas!AK65</f>
        <v>ok</v>
      </c>
      <c r="AH65" s="1" t="str">
        <f t="shared" si="17"/>
        <v>Fjelstul World Cup Database + FootyStats CSV</v>
      </c>
      <c r="AI65" s="1" t="str">
        <f>Partidas!AX65</f>
        <v>Escanteios por partida indisponiveis no CSV FootyStats desta edicao; nao preencher com estimativa.</v>
      </c>
    </row>
    <row r="66" spans="1:35" ht="15" customHeight="1">
      <c r="A66" s="1" t="str">
        <f>Partidas!C66</f>
        <v>M-2010-01</v>
      </c>
      <c r="B66" s="4">
        <f>Partidas!F66</f>
        <v>40340</v>
      </c>
      <c r="C66" s="1">
        <f>Partidas!A66</f>
        <v>2010</v>
      </c>
      <c r="D66" s="1" t="str">
        <f>Partidas!H66</f>
        <v>South Africa</v>
      </c>
      <c r="E66" s="1" t="str">
        <f>Partidas!I66</f>
        <v>Mexico</v>
      </c>
      <c r="F66" s="5">
        <f>Partidas!J66</f>
        <v>1</v>
      </c>
      <c r="G66" s="5">
        <f>Partidas!K66</f>
        <v>1</v>
      </c>
      <c r="H66" s="1" t="str">
        <f>Partidas!M66</f>
        <v>D</v>
      </c>
      <c r="I66" s="5">
        <f t="shared" ref="I66:I129" si="18">F66+G66</f>
        <v>2</v>
      </c>
      <c r="J66" s="1" t="b">
        <f t="shared" ref="J66:J129" si="19">I66&gt;1.5</f>
        <v>1</v>
      </c>
      <c r="K66" s="1" t="b">
        <f t="shared" ref="K66:K129" si="20">I66&gt;2.5</f>
        <v>0</v>
      </c>
      <c r="L66" s="1" t="b">
        <f t="shared" ref="L66:L129" si="21">I66&gt;3.5</f>
        <v>0</v>
      </c>
      <c r="M66" s="1" t="b">
        <f t="shared" ref="M66:M129" si="22">I66&lt;2.5</f>
        <v>1</v>
      </c>
      <c r="N66" s="1" t="b">
        <f t="shared" ref="N66:N129" si="23">I66&lt;3.5</f>
        <v>1</v>
      </c>
      <c r="O66" s="1" t="b">
        <f t="shared" ref="O66:O129" si="24">AND(F66&gt;0,G66&gt;0)</f>
        <v>1</v>
      </c>
      <c r="P66" s="1" t="b">
        <f t="shared" ref="P66:P129" si="25">OR(H66="H",H66="D")</f>
        <v>1</v>
      </c>
      <c r="Q66" s="1" t="b">
        <f t="shared" ref="Q66:Q129" si="26">OR(H66="H",H66="A")</f>
        <v>0</v>
      </c>
      <c r="R66" s="1" t="b">
        <f t="shared" ref="R66:R129" si="27">OR(H66="D",H66="A")</f>
        <v>1</v>
      </c>
      <c r="S66" s="5">
        <f>Partidas!T66</f>
        <v>4</v>
      </c>
      <c r="T66" s="5">
        <f>Partidas!U66</f>
        <v>5</v>
      </c>
      <c r="U66" s="5">
        <f t="shared" ref="U66:U129" si="28">IF(OR(S66="",T66=""),"",S66+T66)</f>
        <v>9</v>
      </c>
      <c r="V66" s="5" t="b">
        <f t="shared" ref="V66:V129" si="29">IF(U66="","dados_insuficientes",U66&gt;8.5)</f>
        <v>1</v>
      </c>
      <c r="W66" s="5" t="b">
        <f t="shared" ref="W66:W129" si="30">IF(U66="","dados_insuficientes",U66&gt;9.5)</f>
        <v>0</v>
      </c>
      <c r="X66" s="5">
        <f>Partidas!X66</f>
        <v>2</v>
      </c>
      <c r="Y66" s="5">
        <f>Partidas!Y66</f>
        <v>2</v>
      </c>
      <c r="Z66" s="5">
        <f>Partidas!AG66</f>
        <v>0</v>
      </c>
      <c r="AA66" s="5">
        <f>Partidas!AH66</f>
        <v>0</v>
      </c>
      <c r="AB66" s="5">
        <f t="shared" ref="AB66:AB129" si="31">X66+Y66+Z66+AA66</f>
        <v>4</v>
      </c>
      <c r="AC66" s="1" t="b">
        <f t="shared" ref="AC66:AC129" si="32">AB66&gt;3.5</f>
        <v>1</v>
      </c>
      <c r="AD66" s="1" t="b">
        <f t="shared" ref="AD66:AD129" si="33">AB66&gt;4.5</f>
        <v>0</v>
      </c>
      <c r="AE66" s="1" t="b">
        <f t="shared" ref="AE66:AE129" si="34">AB66&gt;5.5</f>
        <v>0</v>
      </c>
      <c r="AF66" s="1" t="str">
        <f>Partidas!W66</f>
        <v>ok</v>
      </c>
      <c r="AG66" s="1" t="str">
        <f>Partidas!AK66</f>
        <v>ok</v>
      </c>
      <c r="AH66" s="1" t="str">
        <f t="shared" ref="AH66:AH129" si="35">"Fjelstul World Cup Database + FootyStats CSV"</f>
        <v>Fjelstul World Cup Database + FootyStats CSV</v>
      </c>
      <c r="AI66" s="1">
        <f>Partidas!AX66</f>
        <v>0</v>
      </c>
    </row>
    <row r="67" spans="1:35" ht="15" customHeight="1">
      <c r="A67" s="1" t="str">
        <f>Partidas!C67</f>
        <v>M-2010-02</v>
      </c>
      <c r="B67" s="4">
        <f>Partidas!F67</f>
        <v>40340</v>
      </c>
      <c r="C67" s="1">
        <f>Partidas!A67</f>
        <v>2010</v>
      </c>
      <c r="D67" s="1" t="str">
        <f>Partidas!H67</f>
        <v>Uruguay</v>
      </c>
      <c r="E67" s="1" t="str">
        <f>Partidas!I67</f>
        <v>France</v>
      </c>
      <c r="F67" s="5">
        <f>Partidas!J67</f>
        <v>0</v>
      </c>
      <c r="G67" s="5">
        <f>Partidas!K67</f>
        <v>0</v>
      </c>
      <c r="H67" s="1" t="str">
        <f>Partidas!M67</f>
        <v>D</v>
      </c>
      <c r="I67" s="5">
        <f t="shared" si="18"/>
        <v>0</v>
      </c>
      <c r="J67" s="1" t="b">
        <f t="shared" si="19"/>
        <v>0</v>
      </c>
      <c r="K67" s="1" t="b">
        <f t="shared" si="20"/>
        <v>0</v>
      </c>
      <c r="L67" s="1" t="b">
        <f t="shared" si="21"/>
        <v>0</v>
      </c>
      <c r="M67" s="1" t="b">
        <f t="shared" si="22"/>
        <v>1</v>
      </c>
      <c r="N67" s="1" t="b">
        <f t="shared" si="23"/>
        <v>1</v>
      </c>
      <c r="O67" s="1" t="b">
        <f t="shared" si="24"/>
        <v>0</v>
      </c>
      <c r="P67" s="1" t="b">
        <f t="shared" si="25"/>
        <v>1</v>
      </c>
      <c r="Q67" s="1" t="b">
        <f t="shared" si="26"/>
        <v>0</v>
      </c>
      <c r="R67" s="1" t="b">
        <f t="shared" si="27"/>
        <v>1</v>
      </c>
      <c r="S67" s="5">
        <f>Partidas!T67</f>
        <v>0</v>
      </c>
      <c r="T67" s="5">
        <f>Partidas!U67</f>
        <v>4</v>
      </c>
      <c r="U67" s="5">
        <f t="shared" si="28"/>
        <v>4</v>
      </c>
      <c r="V67" s="5" t="b">
        <f t="shared" si="29"/>
        <v>0</v>
      </c>
      <c r="W67" s="5" t="b">
        <f t="shared" si="30"/>
        <v>0</v>
      </c>
      <c r="X67" s="5">
        <f>Partidas!X67</f>
        <v>3</v>
      </c>
      <c r="Y67" s="5">
        <f>Partidas!Y67</f>
        <v>3</v>
      </c>
      <c r="Z67" s="5">
        <f>Partidas!AG67</f>
        <v>1</v>
      </c>
      <c r="AA67" s="5">
        <f>Partidas!AH67</f>
        <v>0</v>
      </c>
      <c r="AB67" s="5">
        <f t="shared" si="31"/>
        <v>7</v>
      </c>
      <c r="AC67" s="1" t="b">
        <f t="shared" si="32"/>
        <v>1</v>
      </c>
      <c r="AD67" s="1" t="b">
        <f t="shared" si="33"/>
        <v>1</v>
      </c>
      <c r="AE67" s="1" t="b">
        <f t="shared" si="34"/>
        <v>1</v>
      </c>
      <c r="AF67" s="1" t="str">
        <f>Partidas!W67</f>
        <v>ok</v>
      </c>
      <c r="AG67" s="1" t="str">
        <f>Partidas!AK67</f>
        <v>ok</v>
      </c>
      <c r="AH67" s="1" t="str">
        <f t="shared" si="35"/>
        <v>Fjelstul World Cup Database + FootyStats CSV</v>
      </c>
      <c r="AI67" s="1">
        <f>Partidas!AX67</f>
        <v>0</v>
      </c>
    </row>
    <row r="68" spans="1:35" ht="15" customHeight="1">
      <c r="A68" s="1" t="str">
        <f>Partidas!C68</f>
        <v>M-2010-03</v>
      </c>
      <c r="B68" s="4">
        <f>Partidas!F68</f>
        <v>40341</v>
      </c>
      <c r="C68" s="1">
        <f>Partidas!A68</f>
        <v>2010</v>
      </c>
      <c r="D68" s="1" t="str">
        <f>Partidas!H68</f>
        <v>South Korea</v>
      </c>
      <c r="E68" s="1" t="str">
        <f>Partidas!I68</f>
        <v>Greece</v>
      </c>
      <c r="F68" s="5">
        <f>Partidas!J68</f>
        <v>2</v>
      </c>
      <c r="G68" s="5">
        <f>Partidas!K68</f>
        <v>0</v>
      </c>
      <c r="H68" s="1" t="str">
        <f>Partidas!M68</f>
        <v>H</v>
      </c>
      <c r="I68" s="5">
        <f t="shared" si="18"/>
        <v>2</v>
      </c>
      <c r="J68" s="1" t="b">
        <f t="shared" si="19"/>
        <v>1</v>
      </c>
      <c r="K68" s="1" t="b">
        <f t="shared" si="20"/>
        <v>0</v>
      </c>
      <c r="L68" s="1" t="b">
        <f t="shared" si="21"/>
        <v>0</v>
      </c>
      <c r="M68" s="1" t="b">
        <f t="shared" si="22"/>
        <v>1</v>
      </c>
      <c r="N68" s="1" t="b">
        <f t="shared" si="23"/>
        <v>1</v>
      </c>
      <c r="O68" s="1" t="b">
        <f t="shared" si="24"/>
        <v>0</v>
      </c>
      <c r="P68" s="1" t="b">
        <f t="shared" si="25"/>
        <v>1</v>
      </c>
      <c r="Q68" s="1" t="b">
        <f t="shared" si="26"/>
        <v>1</v>
      </c>
      <c r="R68" s="1" t="b">
        <f t="shared" si="27"/>
        <v>0</v>
      </c>
      <c r="S68" s="5">
        <f>Partidas!T68</f>
        <v>6</v>
      </c>
      <c r="T68" s="5">
        <f>Partidas!U68</f>
        <v>11</v>
      </c>
      <c r="U68" s="5">
        <f t="shared" si="28"/>
        <v>17</v>
      </c>
      <c r="V68" s="5" t="b">
        <f t="shared" si="29"/>
        <v>1</v>
      </c>
      <c r="W68" s="5" t="b">
        <f t="shared" si="30"/>
        <v>1</v>
      </c>
      <c r="X68" s="5">
        <f>Partidas!X68</f>
        <v>0</v>
      </c>
      <c r="Y68" s="5">
        <f>Partidas!Y68</f>
        <v>1</v>
      </c>
      <c r="Z68" s="5">
        <f>Partidas!AG68</f>
        <v>0</v>
      </c>
      <c r="AA68" s="5">
        <f>Partidas!AH68</f>
        <v>0</v>
      </c>
      <c r="AB68" s="5">
        <f t="shared" si="31"/>
        <v>1</v>
      </c>
      <c r="AC68" s="1" t="b">
        <f t="shared" si="32"/>
        <v>0</v>
      </c>
      <c r="AD68" s="1" t="b">
        <f t="shared" si="33"/>
        <v>0</v>
      </c>
      <c r="AE68" s="1" t="b">
        <f t="shared" si="34"/>
        <v>0</v>
      </c>
      <c r="AF68" s="1" t="str">
        <f>Partidas!W68</f>
        <v>ok</v>
      </c>
      <c r="AG68" s="1" t="str">
        <f>Partidas!AK68</f>
        <v>ok</v>
      </c>
      <c r="AH68" s="1" t="str">
        <f t="shared" si="35"/>
        <v>Fjelstul World Cup Database + FootyStats CSV</v>
      </c>
      <c r="AI68" s="1">
        <f>Partidas!AX68</f>
        <v>0</v>
      </c>
    </row>
    <row r="69" spans="1:35" ht="15" customHeight="1">
      <c r="A69" s="1" t="str">
        <f>Partidas!C69</f>
        <v>M-2010-04</v>
      </c>
      <c r="B69" s="4">
        <f>Partidas!F69</f>
        <v>40341</v>
      </c>
      <c r="C69" s="1">
        <f>Partidas!A69</f>
        <v>2010</v>
      </c>
      <c r="D69" s="1" t="str">
        <f>Partidas!H69</f>
        <v>Argentina</v>
      </c>
      <c r="E69" s="1" t="str">
        <f>Partidas!I69</f>
        <v>Nigeria</v>
      </c>
      <c r="F69" s="5">
        <f>Partidas!J69</f>
        <v>1</v>
      </c>
      <c r="G69" s="5">
        <f>Partidas!K69</f>
        <v>0</v>
      </c>
      <c r="H69" s="1" t="str">
        <f>Partidas!M69</f>
        <v>H</v>
      </c>
      <c r="I69" s="5">
        <f t="shared" si="18"/>
        <v>1</v>
      </c>
      <c r="J69" s="1" t="b">
        <f t="shared" si="19"/>
        <v>0</v>
      </c>
      <c r="K69" s="1" t="b">
        <f t="shared" si="20"/>
        <v>0</v>
      </c>
      <c r="L69" s="1" t="b">
        <f t="shared" si="21"/>
        <v>0</v>
      </c>
      <c r="M69" s="1" t="b">
        <f t="shared" si="22"/>
        <v>1</v>
      </c>
      <c r="N69" s="1" t="b">
        <f t="shared" si="23"/>
        <v>1</v>
      </c>
      <c r="O69" s="1" t="b">
        <f t="shared" si="24"/>
        <v>0</v>
      </c>
      <c r="P69" s="1" t="b">
        <f t="shared" si="25"/>
        <v>1</v>
      </c>
      <c r="Q69" s="1" t="b">
        <f t="shared" si="26"/>
        <v>1</v>
      </c>
      <c r="R69" s="1" t="b">
        <f t="shared" si="27"/>
        <v>0</v>
      </c>
      <c r="S69" s="5">
        <f>Partidas!T69</f>
        <v>10</v>
      </c>
      <c r="T69" s="5">
        <f>Partidas!U69</f>
        <v>4</v>
      </c>
      <c r="U69" s="5">
        <f t="shared" si="28"/>
        <v>14</v>
      </c>
      <c r="V69" s="5" t="b">
        <f t="shared" si="29"/>
        <v>1</v>
      </c>
      <c r="W69" s="5" t="b">
        <f t="shared" si="30"/>
        <v>1</v>
      </c>
      <c r="X69" s="5">
        <f>Partidas!X69</f>
        <v>1</v>
      </c>
      <c r="Y69" s="5">
        <f>Partidas!Y69</f>
        <v>1</v>
      </c>
      <c r="Z69" s="5">
        <f>Partidas!AG69</f>
        <v>0</v>
      </c>
      <c r="AA69" s="5">
        <f>Partidas!AH69</f>
        <v>0</v>
      </c>
      <c r="AB69" s="5">
        <f t="shared" si="31"/>
        <v>2</v>
      </c>
      <c r="AC69" s="1" t="b">
        <f t="shared" si="32"/>
        <v>0</v>
      </c>
      <c r="AD69" s="1" t="b">
        <f t="shared" si="33"/>
        <v>0</v>
      </c>
      <c r="AE69" s="1" t="b">
        <f t="shared" si="34"/>
        <v>0</v>
      </c>
      <c r="AF69" s="1" t="str">
        <f>Partidas!W69</f>
        <v>ok</v>
      </c>
      <c r="AG69" s="1" t="str">
        <f>Partidas!AK69</f>
        <v>ok</v>
      </c>
      <c r="AH69" s="1" t="str">
        <f t="shared" si="35"/>
        <v>Fjelstul World Cup Database + FootyStats CSV</v>
      </c>
      <c r="AI69" s="1">
        <f>Partidas!AX69</f>
        <v>0</v>
      </c>
    </row>
    <row r="70" spans="1:35" ht="15" customHeight="1">
      <c r="A70" s="1" t="str">
        <f>Partidas!C70</f>
        <v>M-2010-05</v>
      </c>
      <c r="B70" s="4">
        <f>Partidas!F70</f>
        <v>40341</v>
      </c>
      <c r="C70" s="1">
        <f>Partidas!A70</f>
        <v>2010</v>
      </c>
      <c r="D70" s="1" t="str">
        <f>Partidas!H70</f>
        <v>England</v>
      </c>
      <c r="E70" s="1" t="str">
        <f>Partidas!I70</f>
        <v>United States</v>
      </c>
      <c r="F70" s="5">
        <f>Partidas!J70</f>
        <v>1</v>
      </c>
      <c r="G70" s="5">
        <f>Partidas!K70</f>
        <v>1</v>
      </c>
      <c r="H70" s="1" t="str">
        <f>Partidas!M70</f>
        <v>D</v>
      </c>
      <c r="I70" s="5">
        <f t="shared" si="18"/>
        <v>2</v>
      </c>
      <c r="J70" s="1" t="b">
        <f t="shared" si="19"/>
        <v>1</v>
      </c>
      <c r="K70" s="1" t="b">
        <f t="shared" si="20"/>
        <v>0</v>
      </c>
      <c r="L70" s="1" t="b">
        <f t="shared" si="21"/>
        <v>0</v>
      </c>
      <c r="M70" s="1" t="b">
        <f t="shared" si="22"/>
        <v>1</v>
      </c>
      <c r="N70" s="1" t="b">
        <f t="shared" si="23"/>
        <v>1</v>
      </c>
      <c r="O70" s="1" t="b">
        <f t="shared" si="24"/>
        <v>1</v>
      </c>
      <c r="P70" s="1" t="b">
        <f t="shared" si="25"/>
        <v>1</v>
      </c>
      <c r="Q70" s="1" t="b">
        <f t="shared" si="26"/>
        <v>0</v>
      </c>
      <c r="R70" s="1" t="b">
        <f t="shared" si="27"/>
        <v>1</v>
      </c>
      <c r="S70" s="5">
        <f>Partidas!T70</f>
        <v>7</v>
      </c>
      <c r="T70" s="5">
        <f>Partidas!U70</f>
        <v>4</v>
      </c>
      <c r="U70" s="5">
        <f t="shared" si="28"/>
        <v>11</v>
      </c>
      <c r="V70" s="5" t="b">
        <f t="shared" si="29"/>
        <v>1</v>
      </c>
      <c r="W70" s="5" t="b">
        <f t="shared" si="30"/>
        <v>1</v>
      </c>
      <c r="X70" s="5">
        <f>Partidas!X70</f>
        <v>3</v>
      </c>
      <c r="Y70" s="5">
        <f>Partidas!Y70</f>
        <v>3</v>
      </c>
      <c r="Z70" s="5">
        <f>Partidas!AG70</f>
        <v>0</v>
      </c>
      <c r="AA70" s="5">
        <f>Partidas!AH70</f>
        <v>0</v>
      </c>
      <c r="AB70" s="5">
        <f t="shared" si="31"/>
        <v>6</v>
      </c>
      <c r="AC70" s="1" t="b">
        <f t="shared" si="32"/>
        <v>1</v>
      </c>
      <c r="AD70" s="1" t="b">
        <f t="shared" si="33"/>
        <v>1</v>
      </c>
      <c r="AE70" s="1" t="b">
        <f t="shared" si="34"/>
        <v>1</v>
      </c>
      <c r="AF70" s="1" t="str">
        <f>Partidas!W70</f>
        <v>ok</v>
      </c>
      <c r="AG70" s="1" t="str">
        <f>Partidas!AK70</f>
        <v>ok</v>
      </c>
      <c r="AH70" s="1" t="str">
        <f t="shared" si="35"/>
        <v>Fjelstul World Cup Database + FootyStats CSV</v>
      </c>
      <c r="AI70" s="1">
        <f>Partidas!AX70</f>
        <v>0</v>
      </c>
    </row>
    <row r="71" spans="1:35" ht="15" customHeight="1">
      <c r="A71" s="1" t="str">
        <f>Partidas!C71</f>
        <v>M-2010-06</v>
      </c>
      <c r="B71" s="4">
        <f>Partidas!F71</f>
        <v>40342</v>
      </c>
      <c r="C71" s="1">
        <f>Partidas!A71</f>
        <v>2010</v>
      </c>
      <c r="D71" s="1" t="str">
        <f>Partidas!H71</f>
        <v>Algeria</v>
      </c>
      <c r="E71" s="1" t="str">
        <f>Partidas!I71</f>
        <v>Slovenia</v>
      </c>
      <c r="F71" s="5">
        <f>Partidas!J71</f>
        <v>0</v>
      </c>
      <c r="G71" s="5">
        <f>Partidas!K71</f>
        <v>1</v>
      </c>
      <c r="H71" s="1" t="str">
        <f>Partidas!M71</f>
        <v>A</v>
      </c>
      <c r="I71" s="5">
        <f t="shared" si="18"/>
        <v>1</v>
      </c>
      <c r="J71" s="1" t="b">
        <f t="shared" si="19"/>
        <v>0</v>
      </c>
      <c r="K71" s="1" t="b">
        <f t="shared" si="20"/>
        <v>0</v>
      </c>
      <c r="L71" s="1" t="b">
        <f t="shared" si="21"/>
        <v>0</v>
      </c>
      <c r="M71" s="1" t="b">
        <f t="shared" si="22"/>
        <v>1</v>
      </c>
      <c r="N71" s="1" t="b">
        <f t="shared" si="23"/>
        <v>1</v>
      </c>
      <c r="O71" s="1" t="b">
        <f t="shared" si="24"/>
        <v>0</v>
      </c>
      <c r="P71" s="1" t="b">
        <f t="shared" si="25"/>
        <v>0</v>
      </c>
      <c r="Q71" s="1" t="b">
        <f t="shared" si="26"/>
        <v>1</v>
      </c>
      <c r="R71" s="1" t="b">
        <f t="shared" si="27"/>
        <v>1</v>
      </c>
      <c r="S71" s="5">
        <f>Partidas!T71</f>
        <v>4</v>
      </c>
      <c r="T71" s="5">
        <f>Partidas!U71</f>
        <v>3</v>
      </c>
      <c r="U71" s="5">
        <f t="shared" si="28"/>
        <v>7</v>
      </c>
      <c r="V71" s="5" t="b">
        <f t="shared" si="29"/>
        <v>0</v>
      </c>
      <c r="W71" s="5" t="b">
        <f t="shared" si="30"/>
        <v>0</v>
      </c>
      <c r="X71" s="5">
        <f>Partidas!X71</f>
        <v>2</v>
      </c>
      <c r="Y71" s="5">
        <f>Partidas!Y71</f>
        <v>2</v>
      </c>
      <c r="Z71" s="5">
        <f>Partidas!AG71</f>
        <v>1</v>
      </c>
      <c r="AA71" s="5">
        <f>Partidas!AH71</f>
        <v>0</v>
      </c>
      <c r="AB71" s="5">
        <f t="shared" si="31"/>
        <v>5</v>
      </c>
      <c r="AC71" s="1" t="b">
        <f t="shared" si="32"/>
        <v>1</v>
      </c>
      <c r="AD71" s="1" t="b">
        <f t="shared" si="33"/>
        <v>1</v>
      </c>
      <c r="AE71" s="1" t="b">
        <f t="shared" si="34"/>
        <v>0</v>
      </c>
      <c r="AF71" s="1" t="str">
        <f>Partidas!W71</f>
        <v>ok</v>
      </c>
      <c r="AG71" s="1" t="str">
        <f>Partidas!AK71</f>
        <v>ok</v>
      </c>
      <c r="AH71" s="1" t="str">
        <f t="shared" si="35"/>
        <v>Fjelstul World Cup Database + FootyStats CSV</v>
      </c>
      <c r="AI71" s="1">
        <f>Partidas!AX71</f>
        <v>0</v>
      </c>
    </row>
    <row r="72" spans="1:35" ht="15" customHeight="1">
      <c r="A72" s="1" t="str">
        <f>Partidas!C72</f>
        <v>M-2010-07</v>
      </c>
      <c r="B72" s="4">
        <f>Partidas!F72</f>
        <v>40342</v>
      </c>
      <c r="C72" s="1">
        <f>Partidas!A72</f>
        <v>2010</v>
      </c>
      <c r="D72" s="1" t="str">
        <f>Partidas!H72</f>
        <v>Serbia</v>
      </c>
      <c r="E72" s="1" t="str">
        <f>Partidas!I72</f>
        <v>Ghana</v>
      </c>
      <c r="F72" s="5">
        <f>Partidas!J72</f>
        <v>0</v>
      </c>
      <c r="G72" s="5">
        <f>Partidas!K72</f>
        <v>1</v>
      </c>
      <c r="H72" s="1" t="str">
        <f>Partidas!M72</f>
        <v>A</v>
      </c>
      <c r="I72" s="5">
        <f t="shared" si="18"/>
        <v>1</v>
      </c>
      <c r="J72" s="1" t="b">
        <f t="shared" si="19"/>
        <v>0</v>
      </c>
      <c r="K72" s="1" t="b">
        <f t="shared" si="20"/>
        <v>0</v>
      </c>
      <c r="L72" s="1" t="b">
        <f t="shared" si="21"/>
        <v>0</v>
      </c>
      <c r="M72" s="1" t="b">
        <f t="shared" si="22"/>
        <v>1</v>
      </c>
      <c r="N72" s="1" t="b">
        <f t="shared" si="23"/>
        <v>1</v>
      </c>
      <c r="O72" s="1" t="b">
        <f t="shared" si="24"/>
        <v>0</v>
      </c>
      <c r="P72" s="1" t="b">
        <f t="shared" si="25"/>
        <v>0</v>
      </c>
      <c r="Q72" s="1" t="b">
        <f t="shared" si="26"/>
        <v>1</v>
      </c>
      <c r="R72" s="1" t="b">
        <f t="shared" si="27"/>
        <v>1</v>
      </c>
      <c r="S72" s="5">
        <f>Partidas!T72</f>
        <v>4</v>
      </c>
      <c r="T72" s="5">
        <f>Partidas!U72</f>
        <v>4</v>
      </c>
      <c r="U72" s="5">
        <f t="shared" si="28"/>
        <v>8</v>
      </c>
      <c r="V72" s="5" t="b">
        <f t="shared" si="29"/>
        <v>0</v>
      </c>
      <c r="W72" s="5" t="b">
        <f t="shared" si="30"/>
        <v>0</v>
      </c>
      <c r="X72" s="5">
        <f>Partidas!X72</f>
        <v>3</v>
      </c>
      <c r="Y72" s="5">
        <f>Partidas!Y72</f>
        <v>2</v>
      </c>
      <c r="Z72" s="5">
        <f>Partidas!AG72</f>
        <v>1</v>
      </c>
      <c r="AA72" s="5">
        <f>Partidas!AH72</f>
        <v>0</v>
      </c>
      <c r="AB72" s="5">
        <f t="shared" si="31"/>
        <v>6</v>
      </c>
      <c r="AC72" s="1" t="b">
        <f t="shared" si="32"/>
        <v>1</v>
      </c>
      <c r="AD72" s="1" t="b">
        <f t="shared" si="33"/>
        <v>1</v>
      </c>
      <c r="AE72" s="1" t="b">
        <f t="shared" si="34"/>
        <v>1</v>
      </c>
      <c r="AF72" s="1" t="str">
        <f>Partidas!W72</f>
        <v>ok</v>
      </c>
      <c r="AG72" s="1" t="str">
        <f>Partidas!AK72</f>
        <v>ok</v>
      </c>
      <c r="AH72" s="1" t="str">
        <f t="shared" si="35"/>
        <v>Fjelstul World Cup Database + FootyStats CSV</v>
      </c>
      <c r="AI72" s="1">
        <f>Partidas!AX72</f>
        <v>0</v>
      </c>
    </row>
    <row r="73" spans="1:35" ht="15" customHeight="1">
      <c r="A73" s="1" t="str">
        <f>Partidas!C73</f>
        <v>M-2010-08</v>
      </c>
      <c r="B73" s="4">
        <f>Partidas!F73</f>
        <v>40342</v>
      </c>
      <c r="C73" s="1">
        <f>Partidas!A73</f>
        <v>2010</v>
      </c>
      <c r="D73" s="1" t="str">
        <f>Partidas!H73</f>
        <v>Germany</v>
      </c>
      <c r="E73" s="1" t="str">
        <f>Partidas!I73</f>
        <v>Australia</v>
      </c>
      <c r="F73" s="5">
        <f>Partidas!J73</f>
        <v>4</v>
      </c>
      <c r="G73" s="5">
        <f>Partidas!K73</f>
        <v>0</v>
      </c>
      <c r="H73" s="1" t="str">
        <f>Partidas!M73</f>
        <v>H</v>
      </c>
      <c r="I73" s="5">
        <f t="shared" si="18"/>
        <v>4</v>
      </c>
      <c r="J73" s="1" t="b">
        <f t="shared" si="19"/>
        <v>1</v>
      </c>
      <c r="K73" s="1" t="b">
        <f t="shared" si="20"/>
        <v>1</v>
      </c>
      <c r="L73" s="1" t="b">
        <f t="shared" si="21"/>
        <v>1</v>
      </c>
      <c r="M73" s="1" t="b">
        <f t="shared" si="22"/>
        <v>0</v>
      </c>
      <c r="N73" s="1" t="b">
        <f t="shared" si="23"/>
        <v>0</v>
      </c>
      <c r="O73" s="1" t="b">
        <f t="shared" si="24"/>
        <v>0</v>
      </c>
      <c r="P73" s="1" t="b">
        <f t="shared" si="25"/>
        <v>1</v>
      </c>
      <c r="Q73" s="1" t="b">
        <f t="shared" si="26"/>
        <v>1</v>
      </c>
      <c r="R73" s="1" t="b">
        <f t="shared" si="27"/>
        <v>0</v>
      </c>
      <c r="S73" s="5">
        <f>Partidas!T73</f>
        <v>4</v>
      </c>
      <c r="T73" s="5">
        <f>Partidas!U73</f>
        <v>7</v>
      </c>
      <c r="U73" s="5">
        <f t="shared" si="28"/>
        <v>11</v>
      </c>
      <c r="V73" s="5" t="b">
        <f t="shared" si="29"/>
        <v>1</v>
      </c>
      <c r="W73" s="5" t="b">
        <f t="shared" si="30"/>
        <v>1</v>
      </c>
      <c r="X73" s="5">
        <f>Partidas!X73</f>
        <v>2</v>
      </c>
      <c r="Y73" s="5">
        <f>Partidas!Y73</f>
        <v>3</v>
      </c>
      <c r="Z73" s="5">
        <f>Partidas!AG73</f>
        <v>0</v>
      </c>
      <c r="AA73" s="5">
        <f>Partidas!AH73</f>
        <v>1</v>
      </c>
      <c r="AB73" s="5">
        <f t="shared" si="31"/>
        <v>6</v>
      </c>
      <c r="AC73" s="1" t="b">
        <f t="shared" si="32"/>
        <v>1</v>
      </c>
      <c r="AD73" s="1" t="b">
        <f t="shared" si="33"/>
        <v>1</v>
      </c>
      <c r="AE73" s="1" t="b">
        <f t="shared" si="34"/>
        <v>1</v>
      </c>
      <c r="AF73" s="1" t="str">
        <f>Partidas!W73</f>
        <v>ok</v>
      </c>
      <c r="AG73" s="1" t="str">
        <f>Partidas!AK73</f>
        <v>ok</v>
      </c>
      <c r="AH73" s="1" t="str">
        <f t="shared" si="35"/>
        <v>Fjelstul World Cup Database + FootyStats CSV</v>
      </c>
      <c r="AI73" s="1">
        <f>Partidas!AX73</f>
        <v>0</v>
      </c>
    </row>
    <row r="74" spans="1:35" ht="15" customHeight="1">
      <c r="A74" s="1" t="str">
        <f>Partidas!C74</f>
        <v>M-2010-09</v>
      </c>
      <c r="B74" s="4">
        <f>Partidas!F74</f>
        <v>40343</v>
      </c>
      <c r="C74" s="1">
        <f>Partidas!A74</f>
        <v>2010</v>
      </c>
      <c r="D74" s="1" t="str">
        <f>Partidas!H74</f>
        <v>Netherlands</v>
      </c>
      <c r="E74" s="1" t="str">
        <f>Partidas!I74</f>
        <v>Denmark</v>
      </c>
      <c r="F74" s="5">
        <f>Partidas!J74</f>
        <v>2</v>
      </c>
      <c r="G74" s="5">
        <f>Partidas!K74</f>
        <v>0</v>
      </c>
      <c r="H74" s="1" t="str">
        <f>Partidas!M74</f>
        <v>H</v>
      </c>
      <c r="I74" s="5">
        <f t="shared" si="18"/>
        <v>2</v>
      </c>
      <c r="J74" s="1" t="b">
        <f t="shared" si="19"/>
        <v>1</v>
      </c>
      <c r="K74" s="1" t="b">
        <f t="shared" si="20"/>
        <v>0</v>
      </c>
      <c r="L74" s="1" t="b">
        <f t="shared" si="21"/>
        <v>0</v>
      </c>
      <c r="M74" s="1" t="b">
        <f t="shared" si="22"/>
        <v>1</v>
      </c>
      <c r="N74" s="1" t="b">
        <f t="shared" si="23"/>
        <v>1</v>
      </c>
      <c r="O74" s="1" t="b">
        <f t="shared" si="24"/>
        <v>0</v>
      </c>
      <c r="P74" s="1" t="b">
        <f t="shared" si="25"/>
        <v>1</v>
      </c>
      <c r="Q74" s="1" t="b">
        <f t="shared" si="26"/>
        <v>1</v>
      </c>
      <c r="R74" s="1" t="b">
        <f t="shared" si="27"/>
        <v>0</v>
      </c>
      <c r="S74" s="5">
        <f>Partidas!T74</f>
        <v>6</v>
      </c>
      <c r="T74" s="5">
        <f>Partidas!U74</f>
        <v>2</v>
      </c>
      <c r="U74" s="5">
        <f t="shared" si="28"/>
        <v>8</v>
      </c>
      <c r="V74" s="5" t="b">
        <f t="shared" si="29"/>
        <v>0</v>
      </c>
      <c r="W74" s="5" t="b">
        <f t="shared" si="30"/>
        <v>0</v>
      </c>
      <c r="X74" s="5">
        <f>Partidas!X74</f>
        <v>2</v>
      </c>
      <c r="Y74" s="5">
        <f>Partidas!Y74</f>
        <v>1</v>
      </c>
      <c r="Z74" s="5">
        <f>Partidas!AG74</f>
        <v>0</v>
      </c>
      <c r="AA74" s="5">
        <f>Partidas!AH74</f>
        <v>0</v>
      </c>
      <c r="AB74" s="5">
        <f t="shared" si="31"/>
        <v>3</v>
      </c>
      <c r="AC74" s="1" t="b">
        <f t="shared" si="32"/>
        <v>0</v>
      </c>
      <c r="AD74" s="1" t="b">
        <f t="shared" si="33"/>
        <v>0</v>
      </c>
      <c r="AE74" s="1" t="b">
        <f t="shared" si="34"/>
        <v>0</v>
      </c>
      <c r="AF74" s="1" t="str">
        <f>Partidas!W74</f>
        <v>ok</v>
      </c>
      <c r="AG74" s="1" t="str">
        <f>Partidas!AK74</f>
        <v>ok</v>
      </c>
      <c r="AH74" s="1" t="str">
        <f t="shared" si="35"/>
        <v>Fjelstul World Cup Database + FootyStats CSV</v>
      </c>
      <c r="AI74" s="1">
        <f>Partidas!AX74</f>
        <v>0</v>
      </c>
    </row>
    <row r="75" spans="1:35" ht="15" customHeight="1">
      <c r="A75" s="1" t="str">
        <f>Partidas!C75</f>
        <v>M-2010-10</v>
      </c>
      <c r="B75" s="4">
        <f>Partidas!F75</f>
        <v>40343</v>
      </c>
      <c r="C75" s="1">
        <f>Partidas!A75</f>
        <v>2010</v>
      </c>
      <c r="D75" s="1" t="str">
        <f>Partidas!H75</f>
        <v>Japan</v>
      </c>
      <c r="E75" s="1" t="str">
        <f>Partidas!I75</f>
        <v>Cameroon</v>
      </c>
      <c r="F75" s="5">
        <f>Partidas!J75</f>
        <v>1</v>
      </c>
      <c r="G75" s="5">
        <f>Partidas!K75</f>
        <v>0</v>
      </c>
      <c r="H75" s="1" t="str">
        <f>Partidas!M75</f>
        <v>H</v>
      </c>
      <c r="I75" s="5">
        <f t="shared" si="18"/>
        <v>1</v>
      </c>
      <c r="J75" s="1" t="b">
        <f t="shared" si="19"/>
        <v>0</v>
      </c>
      <c r="K75" s="1" t="b">
        <f t="shared" si="20"/>
        <v>0</v>
      </c>
      <c r="L75" s="1" t="b">
        <f t="shared" si="21"/>
        <v>0</v>
      </c>
      <c r="M75" s="1" t="b">
        <f t="shared" si="22"/>
        <v>1</v>
      </c>
      <c r="N75" s="1" t="b">
        <f t="shared" si="23"/>
        <v>1</v>
      </c>
      <c r="O75" s="1" t="b">
        <f t="shared" si="24"/>
        <v>0</v>
      </c>
      <c r="P75" s="1" t="b">
        <f t="shared" si="25"/>
        <v>1</v>
      </c>
      <c r="Q75" s="1" t="b">
        <f t="shared" si="26"/>
        <v>1</v>
      </c>
      <c r="R75" s="1" t="b">
        <f t="shared" si="27"/>
        <v>0</v>
      </c>
      <c r="S75" s="5">
        <f>Partidas!T75</f>
        <v>0</v>
      </c>
      <c r="T75" s="5">
        <f>Partidas!U75</f>
        <v>3</v>
      </c>
      <c r="U75" s="5">
        <f t="shared" si="28"/>
        <v>3</v>
      </c>
      <c r="V75" s="5" t="b">
        <f t="shared" si="29"/>
        <v>0</v>
      </c>
      <c r="W75" s="5" t="b">
        <f t="shared" si="30"/>
        <v>0</v>
      </c>
      <c r="X75" s="5">
        <f>Partidas!X75</f>
        <v>1</v>
      </c>
      <c r="Y75" s="5">
        <f>Partidas!Y75</f>
        <v>1</v>
      </c>
      <c r="Z75" s="5">
        <f>Partidas!AG75</f>
        <v>0</v>
      </c>
      <c r="AA75" s="5">
        <f>Partidas!AH75</f>
        <v>0</v>
      </c>
      <c r="AB75" s="5">
        <f t="shared" si="31"/>
        <v>2</v>
      </c>
      <c r="AC75" s="1" t="b">
        <f t="shared" si="32"/>
        <v>0</v>
      </c>
      <c r="AD75" s="1" t="b">
        <f t="shared" si="33"/>
        <v>0</v>
      </c>
      <c r="AE75" s="1" t="b">
        <f t="shared" si="34"/>
        <v>0</v>
      </c>
      <c r="AF75" s="1" t="str">
        <f>Partidas!W75</f>
        <v>ok</v>
      </c>
      <c r="AG75" s="1" t="str">
        <f>Partidas!AK75</f>
        <v>ok</v>
      </c>
      <c r="AH75" s="1" t="str">
        <f t="shared" si="35"/>
        <v>Fjelstul World Cup Database + FootyStats CSV</v>
      </c>
      <c r="AI75" s="1">
        <f>Partidas!AX75</f>
        <v>0</v>
      </c>
    </row>
    <row r="76" spans="1:35" ht="15" customHeight="1">
      <c r="A76" s="1" t="str">
        <f>Partidas!C76</f>
        <v>M-2010-11</v>
      </c>
      <c r="B76" s="4">
        <f>Partidas!F76</f>
        <v>40343</v>
      </c>
      <c r="C76" s="1">
        <f>Partidas!A76</f>
        <v>2010</v>
      </c>
      <c r="D76" s="1" t="str">
        <f>Partidas!H76</f>
        <v>Italy</v>
      </c>
      <c r="E76" s="1" t="str">
        <f>Partidas!I76</f>
        <v>Paraguay</v>
      </c>
      <c r="F76" s="5">
        <f>Partidas!J76</f>
        <v>1</v>
      </c>
      <c r="G76" s="5">
        <f>Partidas!K76</f>
        <v>1</v>
      </c>
      <c r="H76" s="1" t="str">
        <f>Partidas!M76</f>
        <v>D</v>
      </c>
      <c r="I76" s="5">
        <f t="shared" si="18"/>
        <v>2</v>
      </c>
      <c r="J76" s="1" t="b">
        <f t="shared" si="19"/>
        <v>1</v>
      </c>
      <c r="K76" s="1" t="b">
        <f t="shared" si="20"/>
        <v>0</v>
      </c>
      <c r="L76" s="1" t="b">
        <f t="shared" si="21"/>
        <v>0</v>
      </c>
      <c r="M76" s="1" t="b">
        <f t="shared" si="22"/>
        <v>1</v>
      </c>
      <c r="N76" s="1" t="b">
        <f t="shared" si="23"/>
        <v>1</v>
      </c>
      <c r="O76" s="1" t="b">
        <f t="shared" si="24"/>
        <v>1</v>
      </c>
      <c r="P76" s="1" t="b">
        <f t="shared" si="25"/>
        <v>1</v>
      </c>
      <c r="Q76" s="1" t="b">
        <f t="shared" si="26"/>
        <v>0</v>
      </c>
      <c r="R76" s="1" t="b">
        <f t="shared" si="27"/>
        <v>1</v>
      </c>
      <c r="S76" s="5">
        <f>Partidas!T76</f>
        <v>8</v>
      </c>
      <c r="T76" s="5">
        <f>Partidas!U76</f>
        <v>4</v>
      </c>
      <c r="U76" s="5">
        <f t="shared" si="28"/>
        <v>12</v>
      </c>
      <c r="V76" s="5" t="b">
        <f t="shared" si="29"/>
        <v>1</v>
      </c>
      <c r="W76" s="5" t="b">
        <f t="shared" si="30"/>
        <v>1</v>
      </c>
      <c r="X76" s="5">
        <f>Partidas!X76</f>
        <v>1</v>
      </c>
      <c r="Y76" s="5">
        <f>Partidas!Y76</f>
        <v>1</v>
      </c>
      <c r="Z76" s="5">
        <f>Partidas!AG76</f>
        <v>0</v>
      </c>
      <c r="AA76" s="5">
        <f>Partidas!AH76</f>
        <v>0</v>
      </c>
      <c r="AB76" s="5">
        <f t="shared" si="31"/>
        <v>2</v>
      </c>
      <c r="AC76" s="1" t="b">
        <f t="shared" si="32"/>
        <v>0</v>
      </c>
      <c r="AD76" s="1" t="b">
        <f t="shared" si="33"/>
        <v>0</v>
      </c>
      <c r="AE76" s="1" t="b">
        <f t="shared" si="34"/>
        <v>0</v>
      </c>
      <c r="AF76" s="1" t="str">
        <f>Partidas!W76</f>
        <v>ok</v>
      </c>
      <c r="AG76" s="1" t="str">
        <f>Partidas!AK76</f>
        <v>ok</v>
      </c>
      <c r="AH76" s="1" t="str">
        <f t="shared" si="35"/>
        <v>Fjelstul World Cup Database + FootyStats CSV</v>
      </c>
      <c r="AI76" s="1">
        <f>Partidas!AX76</f>
        <v>0</v>
      </c>
    </row>
    <row r="77" spans="1:35" ht="15" customHeight="1">
      <c r="A77" s="1" t="str">
        <f>Partidas!C77</f>
        <v>M-2010-12</v>
      </c>
      <c r="B77" s="4">
        <f>Partidas!F77</f>
        <v>40344</v>
      </c>
      <c r="C77" s="1">
        <f>Partidas!A77</f>
        <v>2010</v>
      </c>
      <c r="D77" s="1" t="str">
        <f>Partidas!H77</f>
        <v>New Zealand</v>
      </c>
      <c r="E77" s="1" t="str">
        <f>Partidas!I77</f>
        <v>Slovakia</v>
      </c>
      <c r="F77" s="5">
        <f>Partidas!J77</f>
        <v>1</v>
      </c>
      <c r="G77" s="5">
        <f>Partidas!K77</f>
        <v>1</v>
      </c>
      <c r="H77" s="1" t="str">
        <f>Partidas!M77</f>
        <v>D</v>
      </c>
      <c r="I77" s="5">
        <f t="shared" si="18"/>
        <v>2</v>
      </c>
      <c r="J77" s="1" t="b">
        <f t="shared" si="19"/>
        <v>1</v>
      </c>
      <c r="K77" s="1" t="b">
        <f t="shared" si="20"/>
        <v>0</v>
      </c>
      <c r="L77" s="1" t="b">
        <f t="shared" si="21"/>
        <v>0</v>
      </c>
      <c r="M77" s="1" t="b">
        <f t="shared" si="22"/>
        <v>1</v>
      </c>
      <c r="N77" s="1" t="b">
        <f t="shared" si="23"/>
        <v>1</v>
      </c>
      <c r="O77" s="1" t="b">
        <f t="shared" si="24"/>
        <v>1</v>
      </c>
      <c r="P77" s="1" t="b">
        <f t="shared" si="25"/>
        <v>1</v>
      </c>
      <c r="Q77" s="1" t="b">
        <f t="shared" si="26"/>
        <v>0</v>
      </c>
      <c r="R77" s="1" t="b">
        <f t="shared" si="27"/>
        <v>1</v>
      </c>
      <c r="S77" s="5">
        <f>Partidas!T77</f>
        <v>3</v>
      </c>
      <c r="T77" s="5">
        <f>Partidas!U77</f>
        <v>10</v>
      </c>
      <c r="U77" s="5">
        <f t="shared" si="28"/>
        <v>13</v>
      </c>
      <c r="V77" s="5" t="b">
        <f t="shared" si="29"/>
        <v>1</v>
      </c>
      <c r="W77" s="5" t="b">
        <f t="shared" si="30"/>
        <v>1</v>
      </c>
      <c r="X77" s="5">
        <f>Partidas!X77</f>
        <v>2</v>
      </c>
      <c r="Y77" s="5">
        <f>Partidas!Y77</f>
        <v>1</v>
      </c>
      <c r="Z77" s="5">
        <f>Partidas!AG77</f>
        <v>0</v>
      </c>
      <c r="AA77" s="5">
        <f>Partidas!AH77</f>
        <v>0</v>
      </c>
      <c r="AB77" s="5">
        <f t="shared" si="31"/>
        <v>3</v>
      </c>
      <c r="AC77" s="1" t="b">
        <f t="shared" si="32"/>
        <v>0</v>
      </c>
      <c r="AD77" s="1" t="b">
        <f t="shared" si="33"/>
        <v>0</v>
      </c>
      <c r="AE77" s="1" t="b">
        <f t="shared" si="34"/>
        <v>0</v>
      </c>
      <c r="AF77" s="1" t="str">
        <f>Partidas!W77</f>
        <v>ok</v>
      </c>
      <c r="AG77" s="1" t="str">
        <f>Partidas!AK77</f>
        <v>ok</v>
      </c>
      <c r="AH77" s="1" t="str">
        <f t="shared" si="35"/>
        <v>Fjelstul World Cup Database + FootyStats CSV</v>
      </c>
      <c r="AI77" s="1">
        <f>Partidas!AX77</f>
        <v>0</v>
      </c>
    </row>
    <row r="78" spans="1:35" ht="15" customHeight="1">
      <c r="A78" s="1" t="str">
        <f>Partidas!C78</f>
        <v>M-2010-13</v>
      </c>
      <c r="B78" s="4">
        <f>Partidas!F78</f>
        <v>40344</v>
      </c>
      <c r="C78" s="1">
        <f>Partidas!A78</f>
        <v>2010</v>
      </c>
      <c r="D78" s="1" t="str">
        <f>Partidas!H78</f>
        <v>Ivory Coast</v>
      </c>
      <c r="E78" s="1" t="str">
        <f>Partidas!I78</f>
        <v>Portugal</v>
      </c>
      <c r="F78" s="5">
        <f>Partidas!J78</f>
        <v>0</v>
      </c>
      <c r="G78" s="5">
        <f>Partidas!K78</f>
        <v>0</v>
      </c>
      <c r="H78" s="1" t="str">
        <f>Partidas!M78</f>
        <v>D</v>
      </c>
      <c r="I78" s="5">
        <f t="shared" si="18"/>
        <v>0</v>
      </c>
      <c r="J78" s="1" t="b">
        <f t="shared" si="19"/>
        <v>0</v>
      </c>
      <c r="K78" s="1" t="b">
        <f t="shared" si="20"/>
        <v>0</v>
      </c>
      <c r="L78" s="1" t="b">
        <f t="shared" si="21"/>
        <v>0</v>
      </c>
      <c r="M78" s="1" t="b">
        <f t="shared" si="22"/>
        <v>1</v>
      </c>
      <c r="N78" s="1" t="b">
        <f t="shared" si="23"/>
        <v>1</v>
      </c>
      <c r="O78" s="1" t="b">
        <f t="shared" si="24"/>
        <v>0</v>
      </c>
      <c r="P78" s="1" t="b">
        <f t="shared" si="25"/>
        <v>1</v>
      </c>
      <c r="Q78" s="1" t="b">
        <f t="shared" si="26"/>
        <v>0</v>
      </c>
      <c r="R78" s="1" t="b">
        <f t="shared" si="27"/>
        <v>1</v>
      </c>
      <c r="S78" s="5">
        <f>Partidas!T78</f>
        <v>6</v>
      </c>
      <c r="T78" s="5">
        <f>Partidas!U78</f>
        <v>4</v>
      </c>
      <c r="U78" s="5">
        <f t="shared" si="28"/>
        <v>10</v>
      </c>
      <c r="V78" s="5" t="b">
        <f t="shared" si="29"/>
        <v>1</v>
      </c>
      <c r="W78" s="5" t="b">
        <f t="shared" si="30"/>
        <v>1</v>
      </c>
      <c r="X78" s="5">
        <f>Partidas!X78</f>
        <v>2</v>
      </c>
      <c r="Y78" s="5">
        <f>Partidas!Y78</f>
        <v>1</v>
      </c>
      <c r="Z78" s="5">
        <f>Partidas!AG78</f>
        <v>0</v>
      </c>
      <c r="AA78" s="5">
        <f>Partidas!AH78</f>
        <v>0</v>
      </c>
      <c r="AB78" s="5">
        <f t="shared" si="31"/>
        <v>3</v>
      </c>
      <c r="AC78" s="1" t="b">
        <f t="shared" si="32"/>
        <v>0</v>
      </c>
      <c r="AD78" s="1" t="b">
        <f t="shared" si="33"/>
        <v>0</v>
      </c>
      <c r="AE78" s="1" t="b">
        <f t="shared" si="34"/>
        <v>0</v>
      </c>
      <c r="AF78" s="1" t="str">
        <f>Partidas!W78</f>
        <v>ok</v>
      </c>
      <c r="AG78" s="1" t="str">
        <f>Partidas!AK78</f>
        <v>ok</v>
      </c>
      <c r="AH78" s="1" t="str">
        <f t="shared" si="35"/>
        <v>Fjelstul World Cup Database + FootyStats CSV</v>
      </c>
      <c r="AI78" s="1">
        <f>Partidas!AX78</f>
        <v>0</v>
      </c>
    </row>
    <row r="79" spans="1:35" ht="15" customHeight="1">
      <c r="A79" s="1" t="str">
        <f>Partidas!C79</f>
        <v>M-2010-14</v>
      </c>
      <c r="B79" s="4">
        <f>Partidas!F79</f>
        <v>40344</v>
      </c>
      <c r="C79" s="1">
        <f>Partidas!A79</f>
        <v>2010</v>
      </c>
      <c r="D79" s="1" t="str">
        <f>Partidas!H79</f>
        <v>Brazil</v>
      </c>
      <c r="E79" s="1" t="str">
        <f>Partidas!I79</f>
        <v>North Korea</v>
      </c>
      <c r="F79" s="5">
        <f>Partidas!J79</f>
        <v>2</v>
      </c>
      <c r="G79" s="5">
        <f>Partidas!K79</f>
        <v>1</v>
      </c>
      <c r="H79" s="1" t="str">
        <f>Partidas!M79</f>
        <v>H</v>
      </c>
      <c r="I79" s="5">
        <f t="shared" si="18"/>
        <v>3</v>
      </c>
      <c r="J79" s="1" t="b">
        <f t="shared" si="19"/>
        <v>1</v>
      </c>
      <c r="K79" s="1" t="b">
        <f t="shared" si="20"/>
        <v>1</v>
      </c>
      <c r="L79" s="1" t="b">
        <f t="shared" si="21"/>
        <v>0</v>
      </c>
      <c r="M79" s="1" t="b">
        <f t="shared" si="22"/>
        <v>0</v>
      </c>
      <c r="N79" s="1" t="b">
        <f t="shared" si="23"/>
        <v>1</v>
      </c>
      <c r="O79" s="1" t="b">
        <f t="shared" si="24"/>
        <v>1</v>
      </c>
      <c r="P79" s="1" t="b">
        <f t="shared" si="25"/>
        <v>1</v>
      </c>
      <c r="Q79" s="1" t="b">
        <f t="shared" si="26"/>
        <v>1</v>
      </c>
      <c r="R79" s="1" t="b">
        <f t="shared" si="27"/>
        <v>0</v>
      </c>
      <c r="S79" s="5">
        <f>Partidas!T79</f>
        <v>7</v>
      </c>
      <c r="T79" s="5">
        <f>Partidas!U79</f>
        <v>3</v>
      </c>
      <c r="U79" s="5">
        <f t="shared" si="28"/>
        <v>10</v>
      </c>
      <c r="V79" s="5" t="b">
        <f t="shared" si="29"/>
        <v>1</v>
      </c>
      <c r="W79" s="5" t="b">
        <f t="shared" si="30"/>
        <v>1</v>
      </c>
      <c r="X79" s="5">
        <f>Partidas!X79</f>
        <v>1</v>
      </c>
      <c r="Y79" s="5">
        <f>Partidas!Y79</f>
        <v>0</v>
      </c>
      <c r="Z79" s="5">
        <f>Partidas!AG79</f>
        <v>0</v>
      </c>
      <c r="AA79" s="5">
        <f>Partidas!AH79</f>
        <v>0</v>
      </c>
      <c r="AB79" s="5">
        <f t="shared" si="31"/>
        <v>1</v>
      </c>
      <c r="AC79" s="1" t="b">
        <f t="shared" si="32"/>
        <v>0</v>
      </c>
      <c r="AD79" s="1" t="b">
        <f t="shared" si="33"/>
        <v>0</v>
      </c>
      <c r="AE79" s="1" t="b">
        <f t="shared" si="34"/>
        <v>0</v>
      </c>
      <c r="AF79" s="1" t="str">
        <f>Partidas!W79</f>
        <v>ok</v>
      </c>
      <c r="AG79" s="1" t="str">
        <f>Partidas!AK79</f>
        <v>ok</v>
      </c>
      <c r="AH79" s="1" t="str">
        <f t="shared" si="35"/>
        <v>Fjelstul World Cup Database + FootyStats CSV</v>
      </c>
      <c r="AI79" s="1">
        <f>Partidas!AX79</f>
        <v>0</v>
      </c>
    </row>
    <row r="80" spans="1:35" ht="15" customHeight="1">
      <c r="A80" s="1" t="str">
        <f>Partidas!C80</f>
        <v>M-2010-15</v>
      </c>
      <c r="B80" s="4">
        <f>Partidas!F80</f>
        <v>40345</v>
      </c>
      <c r="C80" s="1">
        <f>Partidas!A80</f>
        <v>2010</v>
      </c>
      <c r="D80" s="1" t="str">
        <f>Partidas!H80</f>
        <v>Honduras</v>
      </c>
      <c r="E80" s="1" t="str">
        <f>Partidas!I80</f>
        <v>Chile</v>
      </c>
      <c r="F80" s="5">
        <f>Partidas!J80</f>
        <v>0</v>
      </c>
      <c r="G80" s="5">
        <f>Partidas!K80</f>
        <v>1</v>
      </c>
      <c r="H80" s="1" t="str">
        <f>Partidas!M80</f>
        <v>A</v>
      </c>
      <c r="I80" s="5">
        <f t="shared" si="18"/>
        <v>1</v>
      </c>
      <c r="J80" s="1" t="b">
        <f t="shared" si="19"/>
        <v>0</v>
      </c>
      <c r="K80" s="1" t="b">
        <f t="shared" si="20"/>
        <v>0</v>
      </c>
      <c r="L80" s="1" t="b">
        <f t="shared" si="21"/>
        <v>0</v>
      </c>
      <c r="M80" s="1" t="b">
        <f t="shared" si="22"/>
        <v>1</v>
      </c>
      <c r="N80" s="1" t="b">
        <f t="shared" si="23"/>
        <v>1</v>
      </c>
      <c r="O80" s="1" t="b">
        <f t="shared" si="24"/>
        <v>0</v>
      </c>
      <c r="P80" s="1" t="b">
        <f t="shared" si="25"/>
        <v>0</v>
      </c>
      <c r="Q80" s="1" t="b">
        <f t="shared" si="26"/>
        <v>1</v>
      </c>
      <c r="R80" s="1" t="b">
        <f t="shared" si="27"/>
        <v>1</v>
      </c>
      <c r="S80" s="5">
        <f>Partidas!T80</f>
        <v>4</v>
      </c>
      <c r="T80" s="5">
        <f>Partidas!U80</f>
        <v>6</v>
      </c>
      <c r="U80" s="5">
        <f t="shared" si="28"/>
        <v>10</v>
      </c>
      <c r="V80" s="5" t="b">
        <f t="shared" si="29"/>
        <v>1</v>
      </c>
      <c r="W80" s="5" t="b">
        <f t="shared" si="30"/>
        <v>1</v>
      </c>
      <c r="X80" s="5">
        <f>Partidas!X80</f>
        <v>1</v>
      </c>
      <c r="Y80" s="5">
        <f>Partidas!Y80</f>
        <v>2</v>
      </c>
      <c r="Z80" s="5">
        <f>Partidas!AG80</f>
        <v>0</v>
      </c>
      <c r="AA80" s="5">
        <f>Partidas!AH80</f>
        <v>0</v>
      </c>
      <c r="AB80" s="5">
        <f t="shared" si="31"/>
        <v>3</v>
      </c>
      <c r="AC80" s="1" t="b">
        <f t="shared" si="32"/>
        <v>0</v>
      </c>
      <c r="AD80" s="1" t="b">
        <f t="shared" si="33"/>
        <v>0</v>
      </c>
      <c r="AE80" s="1" t="b">
        <f t="shared" si="34"/>
        <v>0</v>
      </c>
      <c r="AF80" s="1" t="str">
        <f>Partidas!W80</f>
        <v>ok</v>
      </c>
      <c r="AG80" s="1" t="str">
        <f>Partidas!AK80</f>
        <v>ok</v>
      </c>
      <c r="AH80" s="1" t="str">
        <f t="shared" si="35"/>
        <v>Fjelstul World Cup Database + FootyStats CSV</v>
      </c>
      <c r="AI80" s="1">
        <f>Partidas!AX80</f>
        <v>0</v>
      </c>
    </row>
    <row r="81" spans="1:35" ht="15" customHeight="1">
      <c r="A81" s="1" t="str">
        <f>Partidas!C81</f>
        <v>M-2010-16</v>
      </c>
      <c r="B81" s="4">
        <f>Partidas!F81</f>
        <v>40345</v>
      </c>
      <c r="C81" s="1">
        <f>Partidas!A81</f>
        <v>2010</v>
      </c>
      <c r="D81" s="1" t="str">
        <f>Partidas!H81</f>
        <v>Spain</v>
      </c>
      <c r="E81" s="1" t="str">
        <f>Partidas!I81</f>
        <v>Switzerland</v>
      </c>
      <c r="F81" s="5">
        <f>Partidas!J81</f>
        <v>0</v>
      </c>
      <c r="G81" s="5">
        <f>Partidas!K81</f>
        <v>1</v>
      </c>
      <c r="H81" s="1" t="str">
        <f>Partidas!M81</f>
        <v>A</v>
      </c>
      <c r="I81" s="5">
        <f t="shared" si="18"/>
        <v>1</v>
      </c>
      <c r="J81" s="1" t="b">
        <f t="shared" si="19"/>
        <v>0</v>
      </c>
      <c r="K81" s="1" t="b">
        <f t="shared" si="20"/>
        <v>0</v>
      </c>
      <c r="L81" s="1" t="b">
        <f t="shared" si="21"/>
        <v>0</v>
      </c>
      <c r="M81" s="1" t="b">
        <f t="shared" si="22"/>
        <v>1</v>
      </c>
      <c r="N81" s="1" t="b">
        <f t="shared" si="23"/>
        <v>1</v>
      </c>
      <c r="O81" s="1" t="b">
        <f t="shared" si="24"/>
        <v>0</v>
      </c>
      <c r="P81" s="1" t="b">
        <f t="shared" si="25"/>
        <v>0</v>
      </c>
      <c r="Q81" s="1" t="b">
        <f t="shared" si="26"/>
        <v>1</v>
      </c>
      <c r="R81" s="1" t="b">
        <f t="shared" si="27"/>
        <v>1</v>
      </c>
      <c r="S81" s="5">
        <f>Partidas!T81</f>
        <v>12</v>
      </c>
      <c r="T81" s="5">
        <f>Partidas!U81</f>
        <v>3</v>
      </c>
      <c r="U81" s="5">
        <f t="shared" si="28"/>
        <v>15</v>
      </c>
      <c r="V81" s="5" t="b">
        <f t="shared" si="29"/>
        <v>1</v>
      </c>
      <c r="W81" s="5" t="b">
        <f t="shared" si="30"/>
        <v>1</v>
      </c>
      <c r="X81" s="5">
        <f>Partidas!X81</f>
        <v>0</v>
      </c>
      <c r="Y81" s="5">
        <f>Partidas!Y81</f>
        <v>4</v>
      </c>
      <c r="Z81" s="5">
        <f>Partidas!AG81</f>
        <v>0</v>
      </c>
      <c r="AA81" s="5">
        <f>Partidas!AH81</f>
        <v>0</v>
      </c>
      <c r="AB81" s="5">
        <f t="shared" si="31"/>
        <v>4</v>
      </c>
      <c r="AC81" s="1" t="b">
        <f t="shared" si="32"/>
        <v>1</v>
      </c>
      <c r="AD81" s="1" t="b">
        <f t="shared" si="33"/>
        <v>0</v>
      </c>
      <c r="AE81" s="1" t="b">
        <f t="shared" si="34"/>
        <v>0</v>
      </c>
      <c r="AF81" s="1" t="str">
        <f>Partidas!W81</f>
        <v>ok</v>
      </c>
      <c r="AG81" s="1" t="str">
        <f>Partidas!AK81</f>
        <v>ok</v>
      </c>
      <c r="AH81" s="1" t="str">
        <f t="shared" si="35"/>
        <v>Fjelstul World Cup Database + FootyStats CSV</v>
      </c>
      <c r="AI81" s="1">
        <f>Partidas!AX81</f>
        <v>0</v>
      </c>
    </row>
    <row r="82" spans="1:35" ht="15" customHeight="1">
      <c r="A82" s="1" t="str">
        <f>Partidas!C82</f>
        <v>M-2010-17</v>
      </c>
      <c r="B82" s="4">
        <f>Partidas!F82</f>
        <v>40345</v>
      </c>
      <c r="C82" s="1">
        <f>Partidas!A82</f>
        <v>2010</v>
      </c>
      <c r="D82" s="1" t="str">
        <f>Partidas!H82</f>
        <v>South Africa</v>
      </c>
      <c r="E82" s="1" t="str">
        <f>Partidas!I82</f>
        <v>Uruguay</v>
      </c>
      <c r="F82" s="5">
        <f>Partidas!J82</f>
        <v>0</v>
      </c>
      <c r="G82" s="5">
        <f>Partidas!K82</f>
        <v>3</v>
      </c>
      <c r="H82" s="1" t="str">
        <f>Partidas!M82</f>
        <v>A</v>
      </c>
      <c r="I82" s="5">
        <f t="shared" si="18"/>
        <v>3</v>
      </c>
      <c r="J82" s="1" t="b">
        <f t="shared" si="19"/>
        <v>1</v>
      </c>
      <c r="K82" s="1" t="b">
        <f t="shared" si="20"/>
        <v>1</v>
      </c>
      <c r="L82" s="1" t="b">
        <f t="shared" si="21"/>
        <v>0</v>
      </c>
      <c r="M82" s="1" t="b">
        <f t="shared" si="22"/>
        <v>0</v>
      </c>
      <c r="N82" s="1" t="b">
        <f t="shared" si="23"/>
        <v>1</v>
      </c>
      <c r="O82" s="1" t="b">
        <f t="shared" si="24"/>
        <v>0</v>
      </c>
      <c r="P82" s="1" t="b">
        <f t="shared" si="25"/>
        <v>0</v>
      </c>
      <c r="Q82" s="1" t="b">
        <f t="shared" si="26"/>
        <v>1</v>
      </c>
      <c r="R82" s="1" t="b">
        <f t="shared" si="27"/>
        <v>1</v>
      </c>
      <c r="S82" s="5">
        <f>Partidas!T82</f>
        <v>3</v>
      </c>
      <c r="T82" s="5">
        <f>Partidas!U82</f>
        <v>4</v>
      </c>
      <c r="U82" s="5">
        <f t="shared" si="28"/>
        <v>7</v>
      </c>
      <c r="V82" s="5" t="b">
        <f t="shared" si="29"/>
        <v>0</v>
      </c>
      <c r="W82" s="5" t="b">
        <f t="shared" si="30"/>
        <v>0</v>
      </c>
      <c r="X82" s="5">
        <f>Partidas!X82</f>
        <v>2</v>
      </c>
      <c r="Y82" s="5">
        <f>Partidas!Y82</f>
        <v>0</v>
      </c>
      <c r="Z82" s="5">
        <f>Partidas!AG82</f>
        <v>1</v>
      </c>
      <c r="AA82" s="5">
        <f>Partidas!AH82</f>
        <v>0</v>
      </c>
      <c r="AB82" s="5">
        <f t="shared" si="31"/>
        <v>3</v>
      </c>
      <c r="AC82" s="1" t="b">
        <f t="shared" si="32"/>
        <v>0</v>
      </c>
      <c r="AD82" s="1" t="b">
        <f t="shared" si="33"/>
        <v>0</v>
      </c>
      <c r="AE82" s="1" t="b">
        <f t="shared" si="34"/>
        <v>0</v>
      </c>
      <c r="AF82" s="1" t="str">
        <f>Partidas!W82</f>
        <v>ok</v>
      </c>
      <c r="AG82" s="1" t="str">
        <f>Partidas!AK82</f>
        <v>ok</v>
      </c>
      <c r="AH82" s="1" t="str">
        <f t="shared" si="35"/>
        <v>Fjelstul World Cup Database + FootyStats CSV</v>
      </c>
      <c r="AI82" s="1">
        <f>Partidas!AX82</f>
        <v>0</v>
      </c>
    </row>
    <row r="83" spans="1:35" ht="15" customHeight="1">
      <c r="A83" s="1" t="str">
        <f>Partidas!C83</f>
        <v>M-2010-18</v>
      </c>
      <c r="B83" s="4">
        <f>Partidas!F83</f>
        <v>40346</v>
      </c>
      <c r="C83" s="1">
        <f>Partidas!A83</f>
        <v>2010</v>
      </c>
      <c r="D83" s="1" t="str">
        <f>Partidas!H83</f>
        <v>Argentina</v>
      </c>
      <c r="E83" s="1" t="str">
        <f>Partidas!I83</f>
        <v>South Korea</v>
      </c>
      <c r="F83" s="5">
        <f>Partidas!J83</f>
        <v>4</v>
      </c>
      <c r="G83" s="5">
        <f>Partidas!K83</f>
        <v>1</v>
      </c>
      <c r="H83" s="1" t="str">
        <f>Partidas!M83</f>
        <v>H</v>
      </c>
      <c r="I83" s="5">
        <f t="shared" si="18"/>
        <v>5</v>
      </c>
      <c r="J83" s="1" t="b">
        <f t="shared" si="19"/>
        <v>1</v>
      </c>
      <c r="K83" s="1" t="b">
        <f t="shared" si="20"/>
        <v>1</v>
      </c>
      <c r="L83" s="1" t="b">
        <f t="shared" si="21"/>
        <v>1</v>
      </c>
      <c r="M83" s="1" t="b">
        <f t="shared" si="22"/>
        <v>0</v>
      </c>
      <c r="N83" s="1" t="b">
        <f t="shared" si="23"/>
        <v>0</v>
      </c>
      <c r="O83" s="1" t="b">
        <f t="shared" si="24"/>
        <v>1</v>
      </c>
      <c r="P83" s="1" t="b">
        <f t="shared" si="25"/>
        <v>1</v>
      </c>
      <c r="Q83" s="1" t="b">
        <f t="shared" si="26"/>
        <v>1</v>
      </c>
      <c r="R83" s="1" t="b">
        <f t="shared" si="27"/>
        <v>0</v>
      </c>
      <c r="S83" s="5">
        <f>Partidas!T83</f>
        <v>6</v>
      </c>
      <c r="T83" s="5">
        <f>Partidas!U83</f>
        <v>2</v>
      </c>
      <c r="U83" s="5">
        <f t="shared" si="28"/>
        <v>8</v>
      </c>
      <c r="V83" s="5" t="b">
        <f t="shared" si="29"/>
        <v>0</v>
      </c>
      <c r="W83" s="5" t="b">
        <f t="shared" si="30"/>
        <v>0</v>
      </c>
      <c r="X83" s="5">
        <f>Partidas!X83</f>
        <v>3</v>
      </c>
      <c r="Y83" s="5">
        <f>Partidas!Y83</f>
        <v>2</v>
      </c>
      <c r="Z83" s="5">
        <f>Partidas!AG83</f>
        <v>0</v>
      </c>
      <c r="AA83" s="5">
        <f>Partidas!AH83</f>
        <v>0</v>
      </c>
      <c r="AB83" s="5">
        <f t="shared" si="31"/>
        <v>5</v>
      </c>
      <c r="AC83" s="1" t="b">
        <f t="shared" si="32"/>
        <v>1</v>
      </c>
      <c r="AD83" s="1" t="b">
        <f t="shared" si="33"/>
        <v>1</v>
      </c>
      <c r="AE83" s="1" t="b">
        <f t="shared" si="34"/>
        <v>0</v>
      </c>
      <c r="AF83" s="1" t="str">
        <f>Partidas!W83</f>
        <v>ok</v>
      </c>
      <c r="AG83" s="1" t="str">
        <f>Partidas!AK83</f>
        <v>ok</v>
      </c>
      <c r="AH83" s="1" t="str">
        <f t="shared" si="35"/>
        <v>Fjelstul World Cup Database + FootyStats CSV</v>
      </c>
      <c r="AI83" s="1">
        <f>Partidas!AX83</f>
        <v>0</v>
      </c>
    </row>
    <row r="84" spans="1:35" ht="15" customHeight="1">
      <c r="A84" s="1" t="str">
        <f>Partidas!C84</f>
        <v>M-2010-19</v>
      </c>
      <c r="B84" s="4">
        <f>Partidas!F84</f>
        <v>40346</v>
      </c>
      <c r="C84" s="1">
        <f>Partidas!A84</f>
        <v>2010</v>
      </c>
      <c r="D84" s="1" t="str">
        <f>Partidas!H84</f>
        <v>Greece</v>
      </c>
      <c r="E84" s="1" t="str">
        <f>Partidas!I84</f>
        <v>Nigeria</v>
      </c>
      <c r="F84" s="5">
        <f>Partidas!J84</f>
        <v>2</v>
      </c>
      <c r="G84" s="5">
        <f>Partidas!K84</f>
        <v>1</v>
      </c>
      <c r="H84" s="1" t="str">
        <f>Partidas!M84</f>
        <v>H</v>
      </c>
      <c r="I84" s="5">
        <f t="shared" si="18"/>
        <v>3</v>
      </c>
      <c r="J84" s="1" t="b">
        <f t="shared" si="19"/>
        <v>1</v>
      </c>
      <c r="K84" s="1" t="b">
        <f t="shared" si="20"/>
        <v>1</v>
      </c>
      <c r="L84" s="1" t="b">
        <f t="shared" si="21"/>
        <v>0</v>
      </c>
      <c r="M84" s="1" t="b">
        <f t="shared" si="22"/>
        <v>0</v>
      </c>
      <c r="N84" s="1" t="b">
        <f t="shared" si="23"/>
        <v>1</v>
      </c>
      <c r="O84" s="1" t="b">
        <f t="shared" si="24"/>
        <v>1</v>
      </c>
      <c r="P84" s="1" t="b">
        <f t="shared" si="25"/>
        <v>1</v>
      </c>
      <c r="Q84" s="1" t="b">
        <f t="shared" si="26"/>
        <v>1</v>
      </c>
      <c r="R84" s="1" t="b">
        <f t="shared" si="27"/>
        <v>0</v>
      </c>
      <c r="S84" s="5">
        <f>Partidas!T84</f>
        <v>11</v>
      </c>
      <c r="T84" s="5">
        <f>Partidas!U84</f>
        <v>3</v>
      </c>
      <c r="U84" s="5">
        <f t="shared" si="28"/>
        <v>14</v>
      </c>
      <c r="V84" s="5" t="b">
        <f t="shared" si="29"/>
        <v>1</v>
      </c>
      <c r="W84" s="5" t="b">
        <f t="shared" si="30"/>
        <v>1</v>
      </c>
      <c r="X84" s="5">
        <f>Partidas!X84</f>
        <v>3</v>
      </c>
      <c r="Y84" s="5">
        <f>Partidas!Y84</f>
        <v>1</v>
      </c>
      <c r="Z84" s="5">
        <f>Partidas!AG84</f>
        <v>0</v>
      </c>
      <c r="AA84" s="5">
        <f>Partidas!AH84</f>
        <v>1</v>
      </c>
      <c r="AB84" s="5">
        <f t="shared" si="31"/>
        <v>5</v>
      </c>
      <c r="AC84" s="1" t="b">
        <f t="shared" si="32"/>
        <v>1</v>
      </c>
      <c r="AD84" s="1" t="b">
        <f t="shared" si="33"/>
        <v>1</v>
      </c>
      <c r="AE84" s="1" t="b">
        <f t="shared" si="34"/>
        <v>0</v>
      </c>
      <c r="AF84" s="1" t="str">
        <f>Partidas!W84</f>
        <v>ok</v>
      </c>
      <c r="AG84" s="1" t="str">
        <f>Partidas!AK84</f>
        <v>ok</v>
      </c>
      <c r="AH84" s="1" t="str">
        <f t="shared" si="35"/>
        <v>Fjelstul World Cup Database + FootyStats CSV</v>
      </c>
      <c r="AI84" s="1">
        <f>Partidas!AX84</f>
        <v>0</v>
      </c>
    </row>
    <row r="85" spans="1:35" ht="15" customHeight="1">
      <c r="A85" s="1" t="str">
        <f>Partidas!C85</f>
        <v>M-2010-20</v>
      </c>
      <c r="B85" s="4">
        <f>Partidas!F85</f>
        <v>40346</v>
      </c>
      <c r="C85" s="1">
        <f>Partidas!A85</f>
        <v>2010</v>
      </c>
      <c r="D85" s="1" t="str">
        <f>Partidas!H85</f>
        <v>France</v>
      </c>
      <c r="E85" s="1" t="str">
        <f>Partidas!I85</f>
        <v>Mexico</v>
      </c>
      <c r="F85" s="5">
        <f>Partidas!J85</f>
        <v>0</v>
      </c>
      <c r="G85" s="5">
        <f>Partidas!K85</f>
        <v>2</v>
      </c>
      <c r="H85" s="1" t="str">
        <f>Partidas!M85</f>
        <v>A</v>
      </c>
      <c r="I85" s="5">
        <f t="shared" si="18"/>
        <v>2</v>
      </c>
      <c r="J85" s="1" t="b">
        <f t="shared" si="19"/>
        <v>1</v>
      </c>
      <c r="K85" s="1" t="b">
        <f t="shared" si="20"/>
        <v>0</v>
      </c>
      <c r="L85" s="1" t="b">
        <f t="shared" si="21"/>
        <v>0</v>
      </c>
      <c r="M85" s="1" t="b">
        <f t="shared" si="22"/>
        <v>1</v>
      </c>
      <c r="N85" s="1" t="b">
        <f t="shared" si="23"/>
        <v>1</v>
      </c>
      <c r="O85" s="1" t="b">
        <f t="shared" si="24"/>
        <v>0</v>
      </c>
      <c r="P85" s="1" t="b">
        <f t="shared" si="25"/>
        <v>0</v>
      </c>
      <c r="Q85" s="1" t="b">
        <f t="shared" si="26"/>
        <v>1</v>
      </c>
      <c r="R85" s="1" t="b">
        <f t="shared" si="27"/>
        <v>1</v>
      </c>
      <c r="S85" s="5">
        <f>Partidas!T85</f>
        <v>7</v>
      </c>
      <c r="T85" s="5">
        <f>Partidas!U85</f>
        <v>1</v>
      </c>
      <c r="U85" s="5">
        <f t="shared" si="28"/>
        <v>8</v>
      </c>
      <c r="V85" s="5" t="b">
        <f t="shared" si="29"/>
        <v>0</v>
      </c>
      <c r="W85" s="5" t="b">
        <f t="shared" si="30"/>
        <v>0</v>
      </c>
      <c r="X85" s="5">
        <f>Partidas!X85</f>
        <v>2</v>
      </c>
      <c r="Y85" s="5">
        <f>Partidas!Y85</f>
        <v>4</v>
      </c>
      <c r="Z85" s="5">
        <f>Partidas!AG85</f>
        <v>0</v>
      </c>
      <c r="AA85" s="5">
        <f>Partidas!AH85</f>
        <v>0</v>
      </c>
      <c r="AB85" s="5">
        <f t="shared" si="31"/>
        <v>6</v>
      </c>
      <c r="AC85" s="1" t="b">
        <f t="shared" si="32"/>
        <v>1</v>
      </c>
      <c r="AD85" s="1" t="b">
        <f t="shared" si="33"/>
        <v>1</v>
      </c>
      <c r="AE85" s="1" t="b">
        <f t="shared" si="34"/>
        <v>1</v>
      </c>
      <c r="AF85" s="1" t="str">
        <f>Partidas!W85</f>
        <v>ok</v>
      </c>
      <c r="AG85" s="1" t="str">
        <f>Partidas!AK85</f>
        <v>ok</v>
      </c>
      <c r="AH85" s="1" t="str">
        <f t="shared" si="35"/>
        <v>Fjelstul World Cup Database + FootyStats CSV</v>
      </c>
      <c r="AI85" s="1">
        <f>Partidas!AX85</f>
        <v>0</v>
      </c>
    </row>
    <row r="86" spans="1:35" ht="15" customHeight="1">
      <c r="A86" s="1" t="str">
        <f>Partidas!C86</f>
        <v>M-2010-21</v>
      </c>
      <c r="B86" s="4">
        <f>Partidas!F86</f>
        <v>40347</v>
      </c>
      <c r="C86" s="1">
        <f>Partidas!A86</f>
        <v>2010</v>
      </c>
      <c r="D86" s="1" t="str">
        <f>Partidas!H86</f>
        <v>Germany</v>
      </c>
      <c r="E86" s="1" t="str">
        <f>Partidas!I86</f>
        <v>Serbia</v>
      </c>
      <c r="F86" s="5">
        <f>Partidas!J86</f>
        <v>0</v>
      </c>
      <c r="G86" s="5">
        <f>Partidas!K86</f>
        <v>1</v>
      </c>
      <c r="H86" s="1" t="str">
        <f>Partidas!M86</f>
        <v>A</v>
      </c>
      <c r="I86" s="5">
        <f t="shared" si="18"/>
        <v>1</v>
      </c>
      <c r="J86" s="1" t="b">
        <f t="shared" si="19"/>
        <v>0</v>
      </c>
      <c r="K86" s="1" t="b">
        <f t="shared" si="20"/>
        <v>0</v>
      </c>
      <c r="L86" s="1" t="b">
        <f t="shared" si="21"/>
        <v>0</v>
      </c>
      <c r="M86" s="1" t="b">
        <f t="shared" si="22"/>
        <v>1</v>
      </c>
      <c r="N86" s="1" t="b">
        <f t="shared" si="23"/>
        <v>1</v>
      </c>
      <c r="O86" s="1" t="b">
        <f t="shared" si="24"/>
        <v>0</v>
      </c>
      <c r="P86" s="1" t="b">
        <f t="shared" si="25"/>
        <v>0</v>
      </c>
      <c r="Q86" s="1" t="b">
        <f t="shared" si="26"/>
        <v>1</v>
      </c>
      <c r="R86" s="1" t="b">
        <f t="shared" si="27"/>
        <v>1</v>
      </c>
      <c r="S86" s="5">
        <f>Partidas!T86</f>
        <v>7</v>
      </c>
      <c r="T86" s="5">
        <f>Partidas!U86</f>
        <v>1</v>
      </c>
      <c r="U86" s="5">
        <f t="shared" si="28"/>
        <v>8</v>
      </c>
      <c r="V86" s="5" t="b">
        <f t="shared" si="29"/>
        <v>0</v>
      </c>
      <c r="W86" s="5" t="b">
        <f t="shared" si="30"/>
        <v>0</v>
      </c>
      <c r="X86" s="5">
        <f>Partidas!X86</f>
        <v>4</v>
      </c>
      <c r="Y86" s="5">
        <f>Partidas!Y86</f>
        <v>4</v>
      </c>
      <c r="Z86" s="5">
        <f>Partidas!AG86</f>
        <v>1</v>
      </c>
      <c r="AA86" s="5">
        <f>Partidas!AH86</f>
        <v>0</v>
      </c>
      <c r="AB86" s="5">
        <f t="shared" si="31"/>
        <v>9</v>
      </c>
      <c r="AC86" s="1" t="b">
        <f t="shared" si="32"/>
        <v>1</v>
      </c>
      <c r="AD86" s="1" t="b">
        <f t="shared" si="33"/>
        <v>1</v>
      </c>
      <c r="AE86" s="1" t="b">
        <f t="shared" si="34"/>
        <v>1</v>
      </c>
      <c r="AF86" s="1" t="str">
        <f>Partidas!W86</f>
        <v>ok</v>
      </c>
      <c r="AG86" s="1" t="str">
        <f>Partidas!AK86</f>
        <v>ok</v>
      </c>
      <c r="AH86" s="1" t="str">
        <f t="shared" si="35"/>
        <v>Fjelstul World Cup Database + FootyStats CSV</v>
      </c>
      <c r="AI86" s="1">
        <f>Partidas!AX86</f>
        <v>0</v>
      </c>
    </row>
    <row r="87" spans="1:35" ht="15" customHeight="1">
      <c r="A87" s="1" t="str">
        <f>Partidas!C87</f>
        <v>M-2010-22</v>
      </c>
      <c r="B87" s="4">
        <f>Partidas!F87</f>
        <v>40347</v>
      </c>
      <c r="C87" s="1">
        <f>Partidas!A87</f>
        <v>2010</v>
      </c>
      <c r="D87" s="1" t="str">
        <f>Partidas!H87</f>
        <v>Slovenia</v>
      </c>
      <c r="E87" s="1" t="str">
        <f>Partidas!I87</f>
        <v>United States</v>
      </c>
      <c r="F87" s="5">
        <f>Partidas!J87</f>
        <v>2</v>
      </c>
      <c r="G87" s="5">
        <f>Partidas!K87</f>
        <v>2</v>
      </c>
      <c r="H87" s="1" t="str">
        <f>Partidas!M87</f>
        <v>D</v>
      </c>
      <c r="I87" s="5">
        <f t="shared" si="18"/>
        <v>4</v>
      </c>
      <c r="J87" s="1" t="b">
        <f t="shared" si="19"/>
        <v>1</v>
      </c>
      <c r="K87" s="1" t="b">
        <f t="shared" si="20"/>
        <v>1</v>
      </c>
      <c r="L87" s="1" t="b">
        <f t="shared" si="21"/>
        <v>1</v>
      </c>
      <c r="M87" s="1" t="b">
        <f t="shared" si="22"/>
        <v>0</v>
      </c>
      <c r="N87" s="1" t="b">
        <f t="shared" si="23"/>
        <v>0</v>
      </c>
      <c r="O87" s="1" t="b">
        <f t="shared" si="24"/>
        <v>1</v>
      </c>
      <c r="P87" s="1" t="b">
        <f t="shared" si="25"/>
        <v>1</v>
      </c>
      <c r="Q87" s="1" t="b">
        <f t="shared" si="26"/>
        <v>0</v>
      </c>
      <c r="R87" s="1" t="b">
        <f t="shared" si="27"/>
        <v>1</v>
      </c>
      <c r="S87" s="5">
        <f>Partidas!T87</f>
        <v>2</v>
      </c>
      <c r="T87" s="5">
        <f>Partidas!U87</f>
        <v>4</v>
      </c>
      <c r="U87" s="5">
        <f t="shared" si="28"/>
        <v>6</v>
      </c>
      <c r="V87" s="5" t="b">
        <f t="shared" si="29"/>
        <v>0</v>
      </c>
      <c r="W87" s="5" t="b">
        <f t="shared" si="30"/>
        <v>0</v>
      </c>
      <c r="X87" s="5">
        <f>Partidas!X87</f>
        <v>4</v>
      </c>
      <c r="Y87" s="5">
        <f>Partidas!Y87</f>
        <v>1</v>
      </c>
      <c r="Z87" s="5">
        <f>Partidas!AG87</f>
        <v>0</v>
      </c>
      <c r="AA87" s="5">
        <f>Partidas!AH87</f>
        <v>0</v>
      </c>
      <c r="AB87" s="5">
        <f t="shared" si="31"/>
        <v>5</v>
      </c>
      <c r="AC87" s="1" t="b">
        <f t="shared" si="32"/>
        <v>1</v>
      </c>
      <c r="AD87" s="1" t="b">
        <f t="shared" si="33"/>
        <v>1</v>
      </c>
      <c r="AE87" s="1" t="b">
        <f t="shared" si="34"/>
        <v>0</v>
      </c>
      <c r="AF87" s="1" t="str">
        <f>Partidas!W87</f>
        <v>ok</v>
      </c>
      <c r="AG87" s="1" t="str">
        <f>Partidas!AK87</f>
        <v>ok</v>
      </c>
      <c r="AH87" s="1" t="str">
        <f t="shared" si="35"/>
        <v>Fjelstul World Cup Database + FootyStats CSV</v>
      </c>
      <c r="AI87" s="1">
        <f>Partidas!AX87</f>
        <v>0</v>
      </c>
    </row>
    <row r="88" spans="1:35" ht="15" customHeight="1">
      <c r="A88" s="1" t="str">
        <f>Partidas!C88</f>
        <v>M-2010-23</v>
      </c>
      <c r="B88" s="4">
        <f>Partidas!F88</f>
        <v>40347</v>
      </c>
      <c r="C88" s="1">
        <f>Partidas!A88</f>
        <v>2010</v>
      </c>
      <c r="D88" s="1" t="str">
        <f>Partidas!H88</f>
        <v>England</v>
      </c>
      <c r="E88" s="1" t="str">
        <f>Partidas!I88</f>
        <v>Algeria</v>
      </c>
      <c r="F88" s="5">
        <f>Partidas!J88</f>
        <v>0</v>
      </c>
      <c r="G88" s="5">
        <f>Partidas!K88</f>
        <v>0</v>
      </c>
      <c r="H88" s="1" t="str">
        <f>Partidas!M88</f>
        <v>D</v>
      </c>
      <c r="I88" s="5">
        <f t="shared" si="18"/>
        <v>0</v>
      </c>
      <c r="J88" s="1" t="b">
        <f t="shared" si="19"/>
        <v>0</v>
      </c>
      <c r="K88" s="1" t="b">
        <f t="shared" si="20"/>
        <v>0</v>
      </c>
      <c r="L88" s="1" t="b">
        <f t="shared" si="21"/>
        <v>0</v>
      </c>
      <c r="M88" s="1" t="b">
        <f t="shared" si="22"/>
        <v>1</v>
      </c>
      <c r="N88" s="1" t="b">
        <f t="shared" si="23"/>
        <v>1</v>
      </c>
      <c r="O88" s="1" t="b">
        <f t="shared" si="24"/>
        <v>0</v>
      </c>
      <c r="P88" s="1" t="b">
        <f t="shared" si="25"/>
        <v>1</v>
      </c>
      <c r="Q88" s="1" t="b">
        <f t="shared" si="26"/>
        <v>0</v>
      </c>
      <c r="R88" s="1" t="b">
        <f t="shared" si="27"/>
        <v>1</v>
      </c>
      <c r="S88" s="5">
        <f>Partidas!T88</f>
        <v>10</v>
      </c>
      <c r="T88" s="5">
        <f>Partidas!U88</f>
        <v>3</v>
      </c>
      <c r="U88" s="5">
        <f t="shared" si="28"/>
        <v>13</v>
      </c>
      <c r="V88" s="5" t="b">
        <f t="shared" si="29"/>
        <v>1</v>
      </c>
      <c r="W88" s="5" t="b">
        <f t="shared" si="30"/>
        <v>1</v>
      </c>
      <c r="X88" s="5">
        <f>Partidas!X88</f>
        <v>1</v>
      </c>
      <c r="Y88" s="5">
        <f>Partidas!Y88</f>
        <v>1</v>
      </c>
      <c r="Z88" s="5">
        <f>Partidas!AG88</f>
        <v>0</v>
      </c>
      <c r="AA88" s="5">
        <f>Partidas!AH88</f>
        <v>0</v>
      </c>
      <c r="AB88" s="5">
        <f t="shared" si="31"/>
        <v>2</v>
      </c>
      <c r="AC88" s="1" t="b">
        <f t="shared" si="32"/>
        <v>0</v>
      </c>
      <c r="AD88" s="1" t="b">
        <f t="shared" si="33"/>
        <v>0</v>
      </c>
      <c r="AE88" s="1" t="b">
        <f t="shared" si="34"/>
        <v>0</v>
      </c>
      <c r="AF88" s="1" t="str">
        <f>Partidas!W88</f>
        <v>ok</v>
      </c>
      <c r="AG88" s="1" t="str">
        <f>Partidas!AK88</f>
        <v>ok</v>
      </c>
      <c r="AH88" s="1" t="str">
        <f t="shared" si="35"/>
        <v>Fjelstul World Cup Database + FootyStats CSV</v>
      </c>
      <c r="AI88" s="1">
        <f>Partidas!AX88</f>
        <v>0</v>
      </c>
    </row>
    <row r="89" spans="1:35" ht="15" customHeight="1">
      <c r="A89" s="1" t="str">
        <f>Partidas!C89</f>
        <v>M-2010-24</v>
      </c>
      <c r="B89" s="4">
        <f>Partidas!F89</f>
        <v>40348</v>
      </c>
      <c r="C89" s="1">
        <f>Partidas!A89</f>
        <v>2010</v>
      </c>
      <c r="D89" s="1" t="str">
        <f>Partidas!H89</f>
        <v>Netherlands</v>
      </c>
      <c r="E89" s="1" t="str">
        <f>Partidas!I89</f>
        <v>Japan</v>
      </c>
      <c r="F89" s="5">
        <f>Partidas!J89</f>
        <v>1</v>
      </c>
      <c r="G89" s="5">
        <f>Partidas!K89</f>
        <v>0</v>
      </c>
      <c r="H89" s="1" t="str">
        <f>Partidas!M89</f>
        <v>H</v>
      </c>
      <c r="I89" s="5">
        <f t="shared" si="18"/>
        <v>1</v>
      </c>
      <c r="J89" s="1" t="b">
        <f t="shared" si="19"/>
        <v>0</v>
      </c>
      <c r="K89" s="1" t="b">
        <f t="shared" si="20"/>
        <v>0</v>
      </c>
      <c r="L89" s="1" t="b">
        <f t="shared" si="21"/>
        <v>0</v>
      </c>
      <c r="M89" s="1" t="b">
        <f t="shared" si="22"/>
        <v>1</v>
      </c>
      <c r="N89" s="1" t="b">
        <f t="shared" si="23"/>
        <v>1</v>
      </c>
      <c r="O89" s="1" t="b">
        <f t="shared" si="24"/>
        <v>0</v>
      </c>
      <c r="P89" s="1" t="b">
        <f t="shared" si="25"/>
        <v>1</v>
      </c>
      <c r="Q89" s="1" t="b">
        <f t="shared" si="26"/>
        <v>1</v>
      </c>
      <c r="R89" s="1" t="b">
        <f t="shared" si="27"/>
        <v>0</v>
      </c>
      <c r="S89" s="5">
        <f>Partidas!T89</f>
        <v>4</v>
      </c>
      <c r="T89" s="5">
        <f>Partidas!U89</f>
        <v>5</v>
      </c>
      <c r="U89" s="5">
        <f t="shared" si="28"/>
        <v>9</v>
      </c>
      <c r="V89" s="5" t="b">
        <f t="shared" si="29"/>
        <v>1</v>
      </c>
      <c r="W89" s="5" t="b">
        <f t="shared" si="30"/>
        <v>0</v>
      </c>
      <c r="X89" s="5">
        <f>Partidas!X89</f>
        <v>1</v>
      </c>
      <c r="Y89" s="5">
        <f>Partidas!Y89</f>
        <v>0</v>
      </c>
      <c r="Z89" s="5">
        <f>Partidas!AG89</f>
        <v>0</v>
      </c>
      <c r="AA89" s="5">
        <f>Partidas!AH89</f>
        <v>0</v>
      </c>
      <c r="AB89" s="5">
        <f t="shared" si="31"/>
        <v>1</v>
      </c>
      <c r="AC89" s="1" t="b">
        <f t="shared" si="32"/>
        <v>0</v>
      </c>
      <c r="AD89" s="1" t="b">
        <f t="shared" si="33"/>
        <v>0</v>
      </c>
      <c r="AE89" s="1" t="b">
        <f t="shared" si="34"/>
        <v>0</v>
      </c>
      <c r="AF89" s="1" t="str">
        <f>Partidas!W89</f>
        <v>ok</v>
      </c>
      <c r="AG89" s="1" t="str">
        <f>Partidas!AK89</f>
        <v>ok</v>
      </c>
      <c r="AH89" s="1" t="str">
        <f t="shared" si="35"/>
        <v>Fjelstul World Cup Database + FootyStats CSV</v>
      </c>
      <c r="AI89" s="1">
        <f>Partidas!AX89</f>
        <v>0</v>
      </c>
    </row>
    <row r="90" spans="1:35" ht="15" customHeight="1">
      <c r="A90" s="1" t="str">
        <f>Partidas!C90</f>
        <v>M-2010-25</v>
      </c>
      <c r="B90" s="4">
        <f>Partidas!F90</f>
        <v>40348</v>
      </c>
      <c r="C90" s="1">
        <f>Partidas!A90</f>
        <v>2010</v>
      </c>
      <c r="D90" s="1" t="str">
        <f>Partidas!H90</f>
        <v>Ghana</v>
      </c>
      <c r="E90" s="1" t="str">
        <f>Partidas!I90</f>
        <v>Australia</v>
      </c>
      <c r="F90" s="5">
        <f>Partidas!J90</f>
        <v>1</v>
      </c>
      <c r="G90" s="5">
        <f>Partidas!K90</f>
        <v>1</v>
      </c>
      <c r="H90" s="1" t="str">
        <f>Partidas!M90</f>
        <v>D</v>
      </c>
      <c r="I90" s="5">
        <f t="shared" si="18"/>
        <v>2</v>
      </c>
      <c r="J90" s="1" t="b">
        <f t="shared" si="19"/>
        <v>1</v>
      </c>
      <c r="K90" s="1" t="b">
        <f t="shared" si="20"/>
        <v>0</v>
      </c>
      <c r="L90" s="1" t="b">
        <f t="shared" si="21"/>
        <v>0</v>
      </c>
      <c r="M90" s="1" t="b">
        <f t="shared" si="22"/>
        <v>1</v>
      </c>
      <c r="N90" s="1" t="b">
        <f t="shared" si="23"/>
        <v>1</v>
      </c>
      <c r="O90" s="1" t="b">
        <f t="shared" si="24"/>
        <v>1</v>
      </c>
      <c r="P90" s="1" t="b">
        <f t="shared" si="25"/>
        <v>1</v>
      </c>
      <c r="Q90" s="1" t="b">
        <f t="shared" si="26"/>
        <v>0</v>
      </c>
      <c r="R90" s="1" t="b">
        <f t="shared" si="27"/>
        <v>1</v>
      </c>
      <c r="S90" s="5">
        <f>Partidas!T90</f>
        <v>6</v>
      </c>
      <c r="T90" s="5">
        <f>Partidas!U90</f>
        <v>1</v>
      </c>
      <c r="U90" s="5">
        <f t="shared" si="28"/>
        <v>7</v>
      </c>
      <c r="V90" s="5" t="b">
        <f t="shared" si="29"/>
        <v>0</v>
      </c>
      <c r="W90" s="5" t="b">
        <f t="shared" si="30"/>
        <v>0</v>
      </c>
      <c r="X90" s="5">
        <f>Partidas!X90</f>
        <v>3</v>
      </c>
      <c r="Y90" s="5">
        <f>Partidas!Y90</f>
        <v>1</v>
      </c>
      <c r="Z90" s="5">
        <f>Partidas!AG90</f>
        <v>0</v>
      </c>
      <c r="AA90" s="5">
        <f>Partidas!AH90</f>
        <v>1</v>
      </c>
      <c r="AB90" s="5">
        <f t="shared" si="31"/>
        <v>5</v>
      </c>
      <c r="AC90" s="1" t="b">
        <f t="shared" si="32"/>
        <v>1</v>
      </c>
      <c r="AD90" s="1" t="b">
        <f t="shared" si="33"/>
        <v>1</v>
      </c>
      <c r="AE90" s="1" t="b">
        <f t="shared" si="34"/>
        <v>0</v>
      </c>
      <c r="AF90" s="1" t="str">
        <f>Partidas!W90</f>
        <v>ok</v>
      </c>
      <c r="AG90" s="1" t="str">
        <f>Partidas!AK90</f>
        <v>ok</v>
      </c>
      <c r="AH90" s="1" t="str">
        <f t="shared" si="35"/>
        <v>Fjelstul World Cup Database + FootyStats CSV</v>
      </c>
      <c r="AI90" s="1">
        <f>Partidas!AX90</f>
        <v>0</v>
      </c>
    </row>
    <row r="91" spans="1:35" ht="15" customHeight="1">
      <c r="A91" s="1" t="str">
        <f>Partidas!C91</f>
        <v>M-2010-26</v>
      </c>
      <c r="B91" s="4">
        <f>Partidas!F91</f>
        <v>40348</v>
      </c>
      <c r="C91" s="1">
        <f>Partidas!A91</f>
        <v>2010</v>
      </c>
      <c r="D91" s="1" t="str">
        <f>Partidas!H91</f>
        <v>Cameroon</v>
      </c>
      <c r="E91" s="1" t="str">
        <f>Partidas!I91</f>
        <v>Denmark</v>
      </c>
      <c r="F91" s="5">
        <f>Partidas!J91</f>
        <v>1</v>
      </c>
      <c r="G91" s="5">
        <f>Partidas!K91</f>
        <v>2</v>
      </c>
      <c r="H91" s="1" t="str">
        <f>Partidas!M91</f>
        <v>A</v>
      </c>
      <c r="I91" s="5">
        <f t="shared" si="18"/>
        <v>3</v>
      </c>
      <c r="J91" s="1" t="b">
        <f t="shared" si="19"/>
        <v>1</v>
      </c>
      <c r="K91" s="1" t="b">
        <f t="shared" si="20"/>
        <v>1</v>
      </c>
      <c r="L91" s="1" t="b">
        <f t="shared" si="21"/>
        <v>0</v>
      </c>
      <c r="M91" s="1" t="b">
        <f t="shared" si="22"/>
        <v>0</v>
      </c>
      <c r="N91" s="1" t="b">
        <f t="shared" si="23"/>
        <v>1</v>
      </c>
      <c r="O91" s="1" t="b">
        <f t="shared" si="24"/>
        <v>1</v>
      </c>
      <c r="P91" s="1" t="b">
        <f t="shared" si="25"/>
        <v>0</v>
      </c>
      <c r="Q91" s="1" t="b">
        <f t="shared" si="26"/>
        <v>1</v>
      </c>
      <c r="R91" s="1" t="b">
        <f t="shared" si="27"/>
        <v>1</v>
      </c>
      <c r="S91" s="5">
        <f>Partidas!T91</f>
        <v>7</v>
      </c>
      <c r="T91" s="5">
        <f>Partidas!U91</f>
        <v>2</v>
      </c>
      <c r="U91" s="5">
        <f t="shared" si="28"/>
        <v>9</v>
      </c>
      <c r="V91" s="5" t="b">
        <f t="shared" si="29"/>
        <v>1</v>
      </c>
      <c r="W91" s="5" t="b">
        <f t="shared" si="30"/>
        <v>0</v>
      </c>
      <c r="X91" s="5">
        <f>Partidas!X91</f>
        <v>2</v>
      </c>
      <c r="Y91" s="5">
        <f>Partidas!Y91</f>
        <v>2</v>
      </c>
      <c r="Z91" s="5">
        <f>Partidas!AG91</f>
        <v>0</v>
      </c>
      <c r="AA91" s="5">
        <f>Partidas!AH91</f>
        <v>0</v>
      </c>
      <c r="AB91" s="5">
        <f t="shared" si="31"/>
        <v>4</v>
      </c>
      <c r="AC91" s="1" t="b">
        <f t="shared" si="32"/>
        <v>1</v>
      </c>
      <c r="AD91" s="1" t="b">
        <f t="shared" si="33"/>
        <v>0</v>
      </c>
      <c r="AE91" s="1" t="b">
        <f t="shared" si="34"/>
        <v>0</v>
      </c>
      <c r="AF91" s="1" t="str">
        <f>Partidas!W91</f>
        <v>ok</v>
      </c>
      <c r="AG91" s="1" t="str">
        <f>Partidas!AK91</f>
        <v>ok</v>
      </c>
      <c r="AH91" s="1" t="str">
        <f t="shared" si="35"/>
        <v>Fjelstul World Cup Database + FootyStats CSV</v>
      </c>
      <c r="AI91" s="1">
        <f>Partidas!AX91</f>
        <v>0</v>
      </c>
    </row>
    <row r="92" spans="1:35" ht="15" customHeight="1">
      <c r="A92" s="1" t="str">
        <f>Partidas!C92</f>
        <v>M-2010-27</v>
      </c>
      <c r="B92" s="4">
        <f>Partidas!F92</f>
        <v>40349</v>
      </c>
      <c r="C92" s="1">
        <f>Partidas!A92</f>
        <v>2010</v>
      </c>
      <c r="D92" s="1" t="str">
        <f>Partidas!H92</f>
        <v>Slovakia</v>
      </c>
      <c r="E92" s="1" t="str">
        <f>Partidas!I92</f>
        <v>Paraguay</v>
      </c>
      <c r="F92" s="5">
        <f>Partidas!J92</f>
        <v>0</v>
      </c>
      <c r="G92" s="5">
        <f>Partidas!K92</f>
        <v>2</v>
      </c>
      <c r="H92" s="1" t="str">
        <f>Partidas!M92</f>
        <v>A</v>
      </c>
      <c r="I92" s="5">
        <f t="shared" si="18"/>
        <v>2</v>
      </c>
      <c r="J92" s="1" t="b">
        <f t="shared" si="19"/>
        <v>1</v>
      </c>
      <c r="K92" s="1" t="b">
        <f t="shared" si="20"/>
        <v>0</v>
      </c>
      <c r="L92" s="1" t="b">
        <f t="shared" si="21"/>
        <v>0</v>
      </c>
      <c r="M92" s="1" t="b">
        <f t="shared" si="22"/>
        <v>1</v>
      </c>
      <c r="N92" s="1" t="b">
        <f t="shared" si="23"/>
        <v>1</v>
      </c>
      <c r="O92" s="1" t="b">
        <f t="shared" si="24"/>
        <v>0</v>
      </c>
      <c r="P92" s="1" t="b">
        <f t="shared" si="25"/>
        <v>0</v>
      </c>
      <c r="Q92" s="1" t="b">
        <f t="shared" si="26"/>
        <v>1</v>
      </c>
      <c r="R92" s="1" t="b">
        <f t="shared" si="27"/>
        <v>1</v>
      </c>
      <c r="S92" s="5">
        <f>Partidas!T92</f>
        <v>3</v>
      </c>
      <c r="T92" s="5">
        <f>Partidas!U92</f>
        <v>1</v>
      </c>
      <c r="U92" s="5">
        <f t="shared" si="28"/>
        <v>4</v>
      </c>
      <c r="V92" s="5" t="b">
        <f t="shared" si="29"/>
        <v>0</v>
      </c>
      <c r="W92" s="5" t="b">
        <f t="shared" si="30"/>
        <v>0</v>
      </c>
      <c r="X92" s="5">
        <f>Partidas!X92</f>
        <v>4</v>
      </c>
      <c r="Y92" s="5">
        <f>Partidas!Y92</f>
        <v>1</v>
      </c>
      <c r="Z92" s="5">
        <f>Partidas!AG92</f>
        <v>0</v>
      </c>
      <c r="AA92" s="5">
        <f>Partidas!AH92</f>
        <v>0</v>
      </c>
      <c r="AB92" s="5">
        <f t="shared" si="31"/>
        <v>5</v>
      </c>
      <c r="AC92" s="1" t="b">
        <f t="shared" si="32"/>
        <v>1</v>
      </c>
      <c r="AD92" s="1" t="b">
        <f t="shared" si="33"/>
        <v>1</v>
      </c>
      <c r="AE92" s="1" t="b">
        <f t="shared" si="34"/>
        <v>0</v>
      </c>
      <c r="AF92" s="1" t="str">
        <f>Partidas!W92</f>
        <v>ok</v>
      </c>
      <c r="AG92" s="1" t="str">
        <f>Partidas!AK92</f>
        <v>ok</v>
      </c>
      <c r="AH92" s="1" t="str">
        <f t="shared" si="35"/>
        <v>Fjelstul World Cup Database + FootyStats CSV</v>
      </c>
      <c r="AI92" s="1">
        <f>Partidas!AX92</f>
        <v>0</v>
      </c>
    </row>
    <row r="93" spans="1:35" ht="15" customHeight="1">
      <c r="A93" s="1" t="str">
        <f>Partidas!C93</f>
        <v>M-2010-28</v>
      </c>
      <c r="B93" s="4">
        <f>Partidas!F93</f>
        <v>40349</v>
      </c>
      <c r="C93" s="1">
        <f>Partidas!A93</f>
        <v>2010</v>
      </c>
      <c r="D93" s="1" t="str">
        <f>Partidas!H93</f>
        <v>Italy</v>
      </c>
      <c r="E93" s="1" t="str">
        <f>Partidas!I93</f>
        <v>New Zealand</v>
      </c>
      <c r="F93" s="5">
        <f>Partidas!J93</f>
        <v>1</v>
      </c>
      <c r="G93" s="5">
        <f>Partidas!K93</f>
        <v>1</v>
      </c>
      <c r="H93" s="1" t="str">
        <f>Partidas!M93</f>
        <v>D</v>
      </c>
      <c r="I93" s="5">
        <f t="shared" si="18"/>
        <v>2</v>
      </c>
      <c r="J93" s="1" t="b">
        <f t="shared" si="19"/>
        <v>1</v>
      </c>
      <c r="K93" s="1" t="b">
        <f t="shared" si="20"/>
        <v>0</v>
      </c>
      <c r="L93" s="1" t="b">
        <f t="shared" si="21"/>
        <v>0</v>
      </c>
      <c r="M93" s="1" t="b">
        <f t="shared" si="22"/>
        <v>1</v>
      </c>
      <c r="N93" s="1" t="b">
        <f t="shared" si="23"/>
        <v>1</v>
      </c>
      <c r="O93" s="1" t="b">
        <f t="shared" si="24"/>
        <v>1</v>
      </c>
      <c r="P93" s="1" t="b">
        <f t="shared" si="25"/>
        <v>1</v>
      </c>
      <c r="Q93" s="1" t="b">
        <f t="shared" si="26"/>
        <v>0</v>
      </c>
      <c r="R93" s="1" t="b">
        <f t="shared" si="27"/>
        <v>1</v>
      </c>
      <c r="S93" s="5">
        <f>Partidas!T93</f>
        <v>15</v>
      </c>
      <c r="T93" s="5">
        <f>Partidas!U93</f>
        <v>0</v>
      </c>
      <c r="U93" s="5">
        <f t="shared" si="28"/>
        <v>15</v>
      </c>
      <c r="V93" s="5" t="b">
        <f t="shared" si="29"/>
        <v>1</v>
      </c>
      <c r="W93" s="5" t="b">
        <f t="shared" si="30"/>
        <v>1</v>
      </c>
      <c r="X93" s="5">
        <f>Partidas!X93</f>
        <v>0</v>
      </c>
      <c r="Y93" s="5">
        <f>Partidas!Y93</f>
        <v>3</v>
      </c>
      <c r="Z93" s="5">
        <f>Partidas!AG93</f>
        <v>0</v>
      </c>
      <c r="AA93" s="5">
        <f>Partidas!AH93</f>
        <v>0</v>
      </c>
      <c r="AB93" s="5">
        <f t="shared" si="31"/>
        <v>3</v>
      </c>
      <c r="AC93" s="1" t="b">
        <f t="shared" si="32"/>
        <v>0</v>
      </c>
      <c r="AD93" s="1" t="b">
        <f t="shared" si="33"/>
        <v>0</v>
      </c>
      <c r="AE93" s="1" t="b">
        <f t="shared" si="34"/>
        <v>0</v>
      </c>
      <c r="AF93" s="1" t="str">
        <f>Partidas!W93</f>
        <v>ok</v>
      </c>
      <c r="AG93" s="1" t="str">
        <f>Partidas!AK93</f>
        <v>ok</v>
      </c>
      <c r="AH93" s="1" t="str">
        <f t="shared" si="35"/>
        <v>Fjelstul World Cup Database + FootyStats CSV</v>
      </c>
      <c r="AI93" s="1">
        <f>Partidas!AX93</f>
        <v>0</v>
      </c>
    </row>
    <row r="94" spans="1:35" ht="15" customHeight="1">
      <c r="A94" s="1" t="str">
        <f>Partidas!C94</f>
        <v>M-2010-29</v>
      </c>
      <c r="B94" s="4">
        <f>Partidas!F94</f>
        <v>40349</v>
      </c>
      <c r="C94" s="1">
        <f>Partidas!A94</f>
        <v>2010</v>
      </c>
      <c r="D94" s="1" t="str">
        <f>Partidas!H94</f>
        <v>Brazil</v>
      </c>
      <c r="E94" s="1" t="str">
        <f>Partidas!I94</f>
        <v>Ivory Coast</v>
      </c>
      <c r="F94" s="5">
        <f>Partidas!J94</f>
        <v>3</v>
      </c>
      <c r="G94" s="5">
        <f>Partidas!K94</f>
        <v>1</v>
      </c>
      <c r="H94" s="1" t="str">
        <f>Partidas!M94</f>
        <v>H</v>
      </c>
      <c r="I94" s="5">
        <f t="shared" si="18"/>
        <v>4</v>
      </c>
      <c r="J94" s="1" t="b">
        <f t="shared" si="19"/>
        <v>1</v>
      </c>
      <c r="K94" s="1" t="b">
        <f t="shared" si="20"/>
        <v>1</v>
      </c>
      <c r="L94" s="1" t="b">
        <f t="shared" si="21"/>
        <v>1</v>
      </c>
      <c r="M94" s="1" t="b">
        <f t="shared" si="22"/>
        <v>0</v>
      </c>
      <c r="N94" s="1" t="b">
        <f t="shared" si="23"/>
        <v>0</v>
      </c>
      <c r="O94" s="1" t="b">
        <f t="shared" si="24"/>
        <v>1</v>
      </c>
      <c r="P94" s="1" t="b">
        <f t="shared" si="25"/>
        <v>1</v>
      </c>
      <c r="Q94" s="1" t="b">
        <f t="shared" si="26"/>
        <v>1</v>
      </c>
      <c r="R94" s="1" t="b">
        <f t="shared" si="27"/>
        <v>0</v>
      </c>
      <c r="S94" s="5">
        <f>Partidas!T94</f>
        <v>4</v>
      </c>
      <c r="T94" s="5">
        <f>Partidas!U94</f>
        <v>3</v>
      </c>
      <c r="U94" s="5">
        <f t="shared" si="28"/>
        <v>7</v>
      </c>
      <c r="V94" s="5" t="b">
        <f t="shared" si="29"/>
        <v>0</v>
      </c>
      <c r="W94" s="5" t="b">
        <f t="shared" si="30"/>
        <v>0</v>
      </c>
      <c r="X94" s="5">
        <f>Partidas!X94</f>
        <v>1</v>
      </c>
      <c r="Y94" s="5">
        <f>Partidas!Y94</f>
        <v>3</v>
      </c>
      <c r="Z94" s="5">
        <f>Partidas!AG94</f>
        <v>1</v>
      </c>
      <c r="AA94" s="5">
        <f>Partidas!AH94</f>
        <v>0</v>
      </c>
      <c r="AB94" s="5">
        <f t="shared" si="31"/>
        <v>5</v>
      </c>
      <c r="AC94" s="1" t="b">
        <f t="shared" si="32"/>
        <v>1</v>
      </c>
      <c r="AD94" s="1" t="b">
        <f t="shared" si="33"/>
        <v>1</v>
      </c>
      <c r="AE94" s="1" t="b">
        <f t="shared" si="34"/>
        <v>0</v>
      </c>
      <c r="AF94" s="1" t="str">
        <f>Partidas!W94</f>
        <v>ok</v>
      </c>
      <c r="AG94" s="1" t="str">
        <f>Partidas!AK94</f>
        <v>ok</v>
      </c>
      <c r="AH94" s="1" t="str">
        <f t="shared" si="35"/>
        <v>Fjelstul World Cup Database + FootyStats CSV</v>
      </c>
      <c r="AI94" s="1">
        <f>Partidas!AX94</f>
        <v>0</v>
      </c>
    </row>
    <row r="95" spans="1:35" ht="15" customHeight="1">
      <c r="A95" s="1" t="str">
        <f>Partidas!C95</f>
        <v>M-2010-30</v>
      </c>
      <c r="B95" s="4">
        <f>Partidas!F95</f>
        <v>40350</v>
      </c>
      <c r="C95" s="1">
        <f>Partidas!A95</f>
        <v>2010</v>
      </c>
      <c r="D95" s="1" t="str">
        <f>Partidas!H95</f>
        <v>Portugal</v>
      </c>
      <c r="E95" s="1" t="str">
        <f>Partidas!I95</f>
        <v>North Korea</v>
      </c>
      <c r="F95" s="5">
        <f>Partidas!J95</f>
        <v>7</v>
      </c>
      <c r="G95" s="5">
        <f>Partidas!K95</f>
        <v>0</v>
      </c>
      <c r="H95" s="1" t="str">
        <f>Partidas!M95</f>
        <v>H</v>
      </c>
      <c r="I95" s="5">
        <f t="shared" si="18"/>
        <v>7</v>
      </c>
      <c r="J95" s="1" t="b">
        <f t="shared" si="19"/>
        <v>1</v>
      </c>
      <c r="K95" s="1" t="b">
        <f t="shared" si="20"/>
        <v>1</v>
      </c>
      <c r="L95" s="1" t="b">
        <f t="shared" si="21"/>
        <v>1</v>
      </c>
      <c r="M95" s="1" t="b">
        <f t="shared" si="22"/>
        <v>0</v>
      </c>
      <c r="N95" s="1" t="b">
        <f t="shared" si="23"/>
        <v>0</v>
      </c>
      <c r="O95" s="1" t="b">
        <f t="shared" si="24"/>
        <v>0</v>
      </c>
      <c r="P95" s="1" t="b">
        <f t="shared" si="25"/>
        <v>1</v>
      </c>
      <c r="Q95" s="1" t="b">
        <f t="shared" si="26"/>
        <v>1</v>
      </c>
      <c r="R95" s="1" t="b">
        <f t="shared" si="27"/>
        <v>0</v>
      </c>
      <c r="S95" s="5">
        <f>Partidas!T95</f>
        <v>5</v>
      </c>
      <c r="T95" s="5">
        <f>Partidas!U95</f>
        <v>1</v>
      </c>
      <c r="U95" s="5">
        <f t="shared" si="28"/>
        <v>6</v>
      </c>
      <c r="V95" s="5" t="b">
        <f t="shared" si="29"/>
        <v>0</v>
      </c>
      <c r="W95" s="5" t="b">
        <f t="shared" si="30"/>
        <v>0</v>
      </c>
      <c r="X95" s="5">
        <f>Partidas!X95</f>
        <v>2</v>
      </c>
      <c r="Y95" s="5">
        <f>Partidas!Y95</f>
        <v>2</v>
      </c>
      <c r="Z95" s="5">
        <f>Partidas!AG95</f>
        <v>0</v>
      </c>
      <c r="AA95" s="5">
        <f>Partidas!AH95</f>
        <v>0</v>
      </c>
      <c r="AB95" s="5">
        <f t="shared" si="31"/>
        <v>4</v>
      </c>
      <c r="AC95" s="1" t="b">
        <f t="shared" si="32"/>
        <v>1</v>
      </c>
      <c r="AD95" s="1" t="b">
        <f t="shared" si="33"/>
        <v>0</v>
      </c>
      <c r="AE95" s="1" t="b">
        <f t="shared" si="34"/>
        <v>0</v>
      </c>
      <c r="AF95" s="1" t="str">
        <f>Partidas!W95</f>
        <v>ok</v>
      </c>
      <c r="AG95" s="1" t="str">
        <f>Partidas!AK95</f>
        <v>ok</v>
      </c>
      <c r="AH95" s="1" t="str">
        <f t="shared" si="35"/>
        <v>Fjelstul World Cup Database + FootyStats CSV</v>
      </c>
      <c r="AI95" s="1">
        <f>Partidas!AX95</f>
        <v>0</v>
      </c>
    </row>
    <row r="96" spans="1:35" ht="15" customHeight="1">
      <c r="A96" s="1" t="str">
        <f>Partidas!C96</f>
        <v>M-2010-31</v>
      </c>
      <c r="B96" s="4">
        <f>Partidas!F96</f>
        <v>40350</v>
      </c>
      <c r="C96" s="1">
        <f>Partidas!A96</f>
        <v>2010</v>
      </c>
      <c r="D96" s="1" t="str">
        <f>Partidas!H96</f>
        <v>Chile</v>
      </c>
      <c r="E96" s="1" t="str">
        <f>Partidas!I96</f>
        <v>Switzerland</v>
      </c>
      <c r="F96" s="5">
        <f>Partidas!J96</f>
        <v>1</v>
      </c>
      <c r="G96" s="5">
        <f>Partidas!K96</f>
        <v>0</v>
      </c>
      <c r="H96" s="1" t="str">
        <f>Partidas!M96</f>
        <v>H</v>
      </c>
      <c r="I96" s="5">
        <f t="shared" si="18"/>
        <v>1</v>
      </c>
      <c r="J96" s="1" t="b">
        <f t="shared" si="19"/>
        <v>0</v>
      </c>
      <c r="K96" s="1" t="b">
        <f t="shared" si="20"/>
        <v>0</v>
      </c>
      <c r="L96" s="1" t="b">
        <f t="shared" si="21"/>
        <v>0</v>
      </c>
      <c r="M96" s="1" t="b">
        <f t="shared" si="22"/>
        <v>1</v>
      </c>
      <c r="N96" s="1" t="b">
        <f t="shared" si="23"/>
        <v>1</v>
      </c>
      <c r="O96" s="1" t="b">
        <f t="shared" si="24"/>
        <v>0</v>
      </c>
      <c r="P96" s="1" t="b">
        <f t="shared" si="25"/>
        <v>1</v>
      </c>
      <c r="Q96" s="1" t="b">
        <f t="shared" si="26"/>
        <v>1</v>
      </c>
      <c r="R96" s="1" t="b">
        <f t="shared" si="27"/>
        <v>0</v>
      </c>
      <c r="S96" s="5">
        <f>Partidas!T96</f>
        <v>5</v>
      </c>
      <c r="T96" s="5">
        <f>Partidas!U96</f>
        <v>3</v>
      </c>
      <c r="U96" s="5">
        <f t="shared" si="28"/>
        <v>8</v>
      </c>
      <c r="V96" s="5" t="b">
        <f t="shared" si="29"/>
        <v>0</v>
      </c>
      <c r="W96" s="5" t="b">
        <f t="shared" si="30"/>
        <v>0</v>
      </c>
      <c r="X96" s="5">
        <f>Partidas!X96</f>
        <v>6</v>
      </c>
      <c r="Y96" s="5">
        <f>Partidas!Y96</f>
        <v>3</v>
      </c>
      <c r="Z96" s="5">
        <f>Partidas!AG96</f>
        <v>0</v>
      </c>
      <c r="AA96" s="5">
        <f>Partidas!AH96</f>
        <v>1</v>
      </c>
      <c r="AB96" s="5">
        <f t="shared" si="31"/>
        <v>10</v>
      </c>
      <c r="AC96" s="1" t="b">
        <f t="shared" si="32"/>
        <v>1</v>
      </c>
      <c r="AD96" s="1" t="b">
        <f t="shared" si="33"/>
        <v>1</v>
      </c>
      <c r="AE96" s="1" t="b">
        <f t="shared" si="34"/>
        <v>1</v>
      </c>
      <c r="AF96" s="1" t="str">
        <f>Partidas!W96</f>
        <v>ok</v>
      </c>
      <c r="AG96" s="1" t="str">
        <f>Partidas!AK96</f>
        <v>ok</v>
      </c>
      <c r="AH96" s="1" t="str">
        <f t="shared" si="35"/>
        <v>Fjelstul World Cup Database + FootyStats CSV</v>
      </c>
      <c r="AI96" s="1">
        <f>Partidas!AX96</f>
        <v>0</v>
      </c>
    </row>
    <row r="97" spans="1:35" ht="15" customHeight="1">
      <c r="A97" s="1" t="str">
        <f>Partidas!C97</f>
        <v>M-2010-32</v>
      </c>
      <c r="B97" s="4">
        <f>Partidas!F97</f>
        <v>40350</v>
      </c>
      <c r="C97" s="1">
        <f>Partidas!A97</f>
        <v>2010</v>
      </c>
      <c r="D97" s="1" t="str">
        <f>Partidas!H97</f>
        <v>Spain</v>
      </c>
      <c r="E97" s="1" t="str">
        <f>Partidas!I97</f>
        <v>Honduras</v>
      </c>
      <c r="F97" s="5">
        <f>Partidas!J97</f>
        <v>2</v>
      </c>
      <c r="G97" s="5">
        <f>Partidas!K97</f>
        <v>0</v>
      </c>
      <c r="H97" s="1" t="str">
        <f>Partidas!M97</f>
        <v>H</v>
      </c>
      <c r="I97" s="5">
        <f t="shared" si="18"/>
        <v>2</v>
      </c>
      <c r="J97" s="1" t="b">
        <f t="shared" si="19"/>
        <v>1</v>
      </c>
      <c r="K97" s="1" t="b">
        <f t="shared" si="20"/>
        <v>0</v>
      </c>
      <c r="L97" s="1" t="b">
        <f t="shared" si="21"/>
        <v>0</v>
      </c>
      <c r="M97" s="1" t="b">
        <f t="shared" si="22"/>
        <v>1</v>
      </c>
      <c r="N97" s="1" t="b">
        <f t="shared" si="23"/>
        <v>1</v>
      </c>
      <c r="O97" s="1" t="b">
        <f t="shared" si="24"/>
        <v>0</v>
      </c>
      <c r="P97" s="1" t="b">
        <f t="shared" si="25"/>
        <v>1</v>
      </c>
      <c r="Q97" s="1" t="b">
        <f t="shared" si="26"/>
        <v>1</v>
      </c>
      <c r="R97" s="1" t="b">
        <f t="shared" si="27"/>
        <v>0</v>
      </c>
      <c r="S97" s="5">
        <f>Partidas!T97</f>
        <v>12</v>
      </c>
      <c r="T97" s="5">
        <f>Partidas!U97</f>
        <v>2</v>
      </c>
      <c r="U97" s="5">
        <f t="shared" si="28"/>
        <v>14</v>
      </c>
      <c r="V97" s="5" t="b">
        <f t="shared" si="29"/>
        <v>1</v>
      </c>
      <c r="W97" s="5" t="b">
        <f t="shared" si="30"/>
        <v>1</v>
      </c>
      <c r="X97" s="5">
        <f>Partidas!X97</f>
        <v>0</v>
      </c>
      <c r="Y97" s="5">
        <f>Partidas!Y97</f>
        <v>2</v>
      </c>
      <c r="Z97" s="5">
        <f>Partidas!AG97</f>
        <v>0</v>
      </c>
      <c r="AA97" s="5">
        <f>Partidas!AH97</f>
        <v>0</v>
      </c>
      <c r="AB97" s="5">
        <f t="shared" si="31"/>
        <v>2</v>
      </c>
      <c r="AC97" s="1" t="b">
        <f t="shared" si="32"/>
        <v>0</v>
      </c>
      <c r="AD97" s="1" t="b">
        <f t="shared" si="33"/>
        <v>0</v>
      </c>
      <c r="AE97" s="1" t="b">
        <f t="shared" si="34"/>
        <v>0</v>
      </c>
      <c r="AF97" s="1" t="str">
        <f>Partidas!W97</f>
        <v>ok</v>
      </c>
      <c r="AG97" s="1" t="str">
        <f>Partidas!AK97</f>
        <v>ok</v>
      </c>
      <c r="AH97" s="1" t="str">
        <f t="shared" si="35"/>
        <v>Fjelstul World Cup Database + FootyStats CSV</v>
      </c>
      <c r="AI97" s="1">
        <f>Partidas!AX97</f>
        <v>0</v>
      </c>
    </row>
    <row r="98" spans="1:35" ht="15" customHeight="1">
      <c r="A98" s="1" t="str">
        <f>Partidas!C98</f>
        <v>M-2010-33</v>
      </c>
      <c r="B98" s="4">
        <f>Partidas!F98</f>
        <v>40351</v>
      </c>
      <c r="C98" s="1">
        <f>Partidas!A98</f>
        <v>2010</v>
      </c>
      <c r="D98" s="1" t="str">
        <f>Partidas!H98</f>
        <v>France</v>
      </c>
      <c r="E98" s="1" t="str">
        <f>Partidas!I98</f>
        <v>South Africa</v>
      </c>
      <c r="F98" s="5">
        <f>Partidas!J98</f>
        <v>1</v>
      </c>
      <c r="G98" s="5">
        <f>Partidas!K98</f>
        <v>2</v>
      </c>
      <c r="H98" s="1" t="str">
        <f>Partidas!M98</f>
        <v>A</v>
      </c>
      <c r="I98" s="5">
        <f t="shared" si="18"/>
        <v>3</v>
      </c>
      <c r="J98" s="1" t="b">
        <f t="shared" si="19"/>
        <v>1</v>
      </c>
      <c r="K98" s="1" t="b">
        <f t="shared" si="20"/>
        <v>1</v>
      </c>
      <c r="L98" s="1" t="b">
        <f t="shared" si="21"/>
        <v>0</v>
      </c>
      <c r="M98" s="1" t="b">
        <f t="shared" si="22"/>
        <v>0</v>
      </c>
      <c r="N98" s="1" t="b">
        <f t="shared" si="23"/>
        <v>1</v>
      </c>
      <c r="O98" s="1" t="b">
        <f t="shared" si="24"/>
        <v>1</v>
      </c>
      <c r="P98" s="1" t="b">
        <f t="shared" si="25"/>
        <v>0</v>
      </c>
      <c r="Q98" s="1" t="b">
        <f t="shared" si="26"/>
        <v>1</v>
      </c>
      <c r="R98" s="1" t="b">
        <f t="shared" si="27"/>
        <v>1</v>
      </c>
      <c r="S98" s="5">
        <f>Partidas!T98</f>
        <v>3</v>
      </c>
      <c r="T98" s="5">
        <f>Partidas!U98</f>
        <v>5</v>
      </c>
      <c r="U98" s="5">
        <f t="shared" si="28"/>
        <v>8</v>
      </c>
      <c r="V98" s="5" t="b">
        <f t="shared" si="29"/>
        <v>0</v>
      </c>
      <c r="W98" s="5" t="b">
        <f t="shared" si="30"/>
        <v>0</v>
      </c>
      <c r="X98" s="5">
        <f>Partidas!X98</f>
        <v>1</v>
      </c>
      <c r="Y98" s="5">
        <f>Partidas!Y98</f>
        <v>0</v>
      </c>
      <c r="Z98" s="5">
        <f>Partidas!AG98</f>
        <v>1</v>
      </c>
      <c r="AA98" s="5">
        <f>Partidas!AH98</f>
        <v>0</v>
      </c>
      <c r="AB98" s="5">
        <f t="shared" si="31"/>
        <v>2</v>
      </c>
      <c r="AC98" s="1" t="b">
        <f t="shared" si="32"/>
        <v>0</v>
      </c>
      <c r="AD98" s="1" t="b">
        <f t="shared" si="33"/>
        <v>0</v>
      </c>
      <c r="AE98" s="1" t="b">
        <f t="shared" si="34"/>
        <v>0</v>
      </c>
      <c r="AF98" s="1" t="str">
        <f>Partidas!W98</f>
        <v>ok</v>
      </c>
      <c r="AG98" s="1" t="str">
        <f>Partidas!AK98</f>
        <v>ok</v>
      </c>
      <c r="AH98" s="1" t="str">
        <f t="shared" si="35"/>
        <v>Fjelstul World Cup Database + FootyStats CSV</v>
      </c>
      <c r="AI98" s="1">
        <f>Partidas!AX98</f>
        <v>0</v>
      </c>
    </row>
    <row r="99" spans="1:35" ht="15" customHeight="1">
      <c r="A99" s="1" t="str">
        <f>Partidas!C99</f>
        <v>M-2010-34</v>
      </c>
      <c r="B99" s="4">
        <f>Partidas!F99</f>
        <v>40351</v>
      </c>
      <c r="C99" s="1">
        <f>Partidas!A99</f>
        <v>2010</v>
      </c>
      <c r="D99" s="1" t="str">
        <f>Partidas!H99</f>
        <v>Mexico</v>
      </c>
      <c r="E99" s="1" t="str">
        <f>Partidas!I99</f>
        <v>Uruguay</v>
      </c>
      <c r="F99" s="5">
        <f>Partidas!J99</f>
        <v>0</v>
      </c>
      <c r="G99" s="5">
        <f>Partidas!K99</f>
        <v>1</v>
      </c>
      <c r="H99" s="1" t="str">
        <f>Partidas!M99</f>
        <v>A</v>
      </c>
      <c r="I99" s="5">
        <f t="shared" si="18"/>
        <v>1</v>
      </c>
      <c r="J99" s="1" t="b">
        <f t="shared" si="19"/>
        <v>0</v>
      </c>
      <c r="K99" s="1" t="b">
        <f t="shared" si="20"/>
        <v>0</v>
      </c>
      <c r="L99" s="1" t="b">
        <f t="shared" si="21"/>
        <v>0</v>
      </c>
      <c r="M99" s="1" t="b">
        <f t="shared" si="22"/>
        <v>1</v>
      </c>
      <c r="N99" s="1" t="b">
        <f t="shared" si="23"/>
        <v>1</v>
      </c>
      <c r="O99" s="1" t="b">
        <f t="shared" si="24"/>
        <v>0</v>
      </c>
      <c r="P99" s="1" t="b">
        <f t="shared" si="25"/>
        <v>0</v>
      </c>
      <c r="Q99" s="1" t="b">
        <f t="shared" si="26"/>
        <v>1</v>
      </c>
      <c r="R99" s="1" t="b">
        <f t="shared" si="27"/>
        <v>1</v>
      </c>
      <c r="S99" s="5">
        <f>Partidas!T99</f>
        <v>6</v>
      </c>
      <c r="T99" s="5">
        <f>Partidas!U99</f>
        <v>7</v>
      </c>
      <c r="U99" s="5">
        <f t="shared" si="28"/>
        <v>13</v>
      </c>
      <c r="V99" s="5" t="b">
        <f t="shared" si="29"/>
        <v>1</v>
      </c>
      <c r="W99" s="5" t="b">
        <f t="shared" si="30"/>
        <v>1</v>
      </c>
      <c r="X99" s="5">
        <f>Partidas!X99</f>
        <v>2</v>
      </c>
      <c r="Y99" s="5">
        <f>Partidas!Y99</f>
        <v>1</v>
      </c>
      <c r="Z99" s="5">
        <f>Partidas!AG99</f>
        <v>0</v>
      </c>
      <c r="AA99" s="5">
        <f>Partidas!AH99</f>
        <v>0</v>
      </c>
      <c r="AB99" s="5">
        <f t="shared" si="31"/>
        <v>3</v>
      </c>
      <c r="AC99" s="1" t="b">
        <f t="shared" si="32"/>
        <v>0</v>
      </c>
      <c r="AD99" s="1" t="b">
        <f t="shared" si="33"/>
        <v>0</v>
      </c>
      <c r="AE99" s="1" t="b">
        <f t="shared" si="34"/>
        <v>0</v>
      </c>
      <c r="AF99" s="1" t="str">
        <f>Partidas!W99</f>
        <v>ok</v>
      </c>
      <c r="AG99" s="1" t="str">
        <f>Partidas!AK99</f>
        <v>ok</v>
      </c>
      <c r="AH99" s="1" t="str">
        <f t="shared" si="35"/>
        <v>Fjelstul World Cup Database + FootyStats CSV</v>
      </c>
      <c r="AI99" s="1">
        <f>Partidas!AX99</f>
        <v>0</v>
      </c>
    </row>
    <row r="100" spans="1:35" ht="15" customHeight="1">
      <c r="A100" s="1" t="str">
        <f>Partidas!C100</f>
        <v>M-2010-35</v>
      </c>
      <c r="B100" s="4">
        <f>Partidas!F100</f>
        <v>40351</v>
      </c>
      <c r="C100" s="1">
        <f>Partidas!A100</f>
        <v>2010</v>
      </c>
      <c r="D100" s="1" t="str">
        <f>Partidas!H100</f>
        <v>Greece</v>
      </c>
      <c r="E100" s="1" t="str">
        <f>Partidas!I100</f>
        <v>Argentina</v>
      </c>
      <c r="F100" s="5">
        <f>Partidas!J100</f>
        <v>0</v>
      </c>
      <c r="G100" s="5">
        <f>Partidas!K100</f>
        <v>2</v>
      </c>
      <c r="H100" s="1" t="str">
        <f>Partidas!M100</f>
        <v>A</v>
      </c>
      <c r="I100" s="5">
        <f t="shared" si="18"/>
        <v>2</v>
      </c>
      <c r="J100" s="1" t="b">
        <f t="shared" si="19"/>
        <v>1</v>
      </c>
      <c r="K100" s="1" t="b">
        <f t="shared" si="20"/>
        <v>0</v>
      </c>
      <c r="L100" s="1" t="b">
        <f t="shared" si="21"/>
        <v>0</v>
      </c>
      <c r="M100" s="1" t="b">
        <f t="shared" si="22"/>
        <v>1</v>
      </c>
      <c r="N100" s="1" t="b">
        <f t="shared" si="23"/>
        <v>1</v>
      </c>
      <c r="O100" s="1" t="b">
        <f t="shared" si="24"/>
        <v>0</v>
      </c>
      <c r="P100" s="1" t="b">
        <f t="shared" si="25"/>
        <v>0</v>
      </c>
      <c r="Q100" s="1" t="b">
        <f t="shared" si="26"/>
        <v>1</v>
      </c>
      <c r="R100" s="1" t="b">
        <f t="shared" si="27"/>
        <v>1</v>
      </c>
      <c r="S100" s="5">
        <f>Partidas!T100</f>
        <v>1</v>
      </c>
      <c r="T100" s="5">
        <f>Partidas!U100</f>
        <v>10</v>
      </c>
      <c r="U100" s="5">
        <f t="shared" si="28"/>
        <v>11</v>
      </c>
      <c r="V100" s="5" t="b">
        <f t="shared" si="29"/>
        <v>1</v>
      </c>
      <c r="W100" s="5" t="b">
        <f t="shared" si="30"/>
        <v>1</v>
      </c>
      <c r="X100" s="5">
        <f>Partidas!X100</f>
        <v>1</v>
      </c>
      <c r="Y100" s="5">
        <f>Partidas!Y100</f>
        <v>1</v>
      </c>
      <c r="Z100" s="5">
        <f>Partidas!AG100</f>
        <v>0</v>
      </c>
      <c r="AA100" s="5">
        <f>Partidas!AH100</f>
        <v>0</v>
      </c>
      <c r="AB100" s="5">
        <f t="shared" si="31"/>
        <v>2</v>
      </c>
      <c r="AC100" s="1" t="b">
        <f t="shared" si="32"/>
        <v>0</v>
      </c>
      <c r="AD100" s="1" t="b">
        <f t="shared" si="33"/>
        <v>0</v>
      </c>
      <c r="AE100" s="1" t="b">
        <f t="shared" si="34"/>
        <v>0</v>
      </c>
      <c r="AF100" s="1" t="str">
        <f>Partidas!W100</f>
        <v>ok</v>
      </c>
      <c r="AG100" s="1" t="str">
        <f>Partidas!AK100</f>
        <v>ok</v>
      </c>
      <c r="AH100" s="1" t="str">
        <f t="shared" si="35"/>
        <v>Fjelstul World Cup Database + FootyStats CSV</v>
      </c>
      <c r="AI100" s="1">
        <f>Partidas!AX100</f>
        <v>0</v>
      </c>
    </row>
    <row r="101" spans="1:35" ht="15" customHeight="1">
      <c r="A101" s="1" t="str">
        <f>Partidas!C101</f>
        <v>M-2010-36</v>
      </c>
      <c r="B101" s="4">
        <f>Partidas!F101</f>
        <v>40351</v>
      </c>
      <c r="C101" s="1">
        <f>Partidas!A101</f>
        <v>2010</v>
      </c>
      <c r="D101" s="1" t="str">
        <f>Partidas!H101</f>
        <v>Nigeria</v>
      </c>
      <c r="E101" s="1" t="str">
        <f>Partidas!I101</f>
        <v>South Korea</v>
      </c>
      <c r="F101" s="5">
        <f>Partidas!J101</f>
        <v>2</v>
      </c>
      <c r="G101" s="5">
        <f>Partidas!K101</f>
        <v>2</v>
      </c>
      <c r="H101" s="1" t="str">
        <f>Partidas!M101</f>
        <v>D</v>
      </c>
      <c r="I101" s="5">
        <f t="shared" si="18"/>
        <v>4</v>
      </c>
      <c r="J101" s="1" t="b">
        <f t="shared" si="19"/>
        <v>1</v>
      </c>
      <c r="K101" s="1" t="b">
        <f t="shared" si="20"/>
        <v>1</v>
      </c>
      <c r="L101" s="1" t="b">
        <f t="shared" si="21"/>
        <v>1</v>
      </c>
      <c r="M101" s="1" t="b">
        <f t="shared" si="22"/>
        <v>0</v>
      </c>
      <c r="N101" s="1" t="b">
        <f t="shared" si="23"/>
        <v>0</v>
      </c>
      <c r="O101" s="1" t="b">
        <f t="shared" si="24"/>
        <v>1</v>
      </c>
      <c r="P101" s="1" t="b">
        <f t="shared" si="25"/>
        <v>1</v>
      </c>
      <c r="Q101" s="1" t="b">
        <f t="shared" si="26"/>
        <v>0</v>
      </c>
      <c r="R101" s="1" t="b">
        <f t="shared" si="27"/>
        <v>1</v>
      </c>
      <c r="S101" s="5">
        <f>Partidas!T101</f>
        <v>1</v>
      </c>
      <c r="T101" s="5">
        <f>Partidas!U101</f>
        <v>7</v>
      </c>
      <c r="U101" s="5">
        <f t="shared" si="28"/>
        <v>8</v>
      </c>
      <c r="V101" s="5" t="b">
        <f t="shared" si="29"/>
        <v>0</v>
      </c>
      <c r="W101" s="5" t="b">
        <f t="shared" si="30"/>
        <v>0</v>
      </c>
      <c r="X101" s="5">
        <f>Partidas!X101</f>
        <v>3</v>
      </c>
      <c r="Y101" s="5">
        <f>Partidas!Y101</f>
        <v>1</v>
      </c>
      <c r="Z101" s="5">
        <f>Partidas!AG101</f>
        <v>0</v>
      </c>
      <c r="AA101" s="5">
        <f>Partidas!AH101</f>
        <v>0</v>
      </c>
      <c r="AB101" s="5">
        <f t="shared" si="31"/>
        <v>4</v>
      </c>
      <c r="AC101" s="1" t="b">
        <f t="shared" si="32"/>
        <v>1</v>
      </c>
      <c r="AD101" s="1" t="b">
        <f t="shared" si="33"/>
        <v>0</v>
      </c>
      <c r="AE101" s="1" t="b">
        <f t="shared" si="34"/>
        <v>0</v>
      </c>
      <c r="AF101" s="1" t="str">
        <f>Partidas!W101</f>
        <v>ok</v>
      </c>
      <c r="AG101" s="1" t="str">
        <f>Partidas!AK101</f>
        <v>ok</v>
      </c>
      <c r="AH101" s="1" t="str">
        <f t="shared" si="35"/>
        <v>Fjelstul World Cup Database + FootyStats CSV</v>
      </c>
      <c r="AI101" s="1">
        <f>Partidas!AX101</f>
        <v>0</v>
      </c>
    </row>
    <row r="102" spans="1:35" ht="15" customHeight="1">
      <c r="A102" s="1" t="str">
        <f>Partidas!C102</f>
        <v>M-2010-37</v>
      </c>
      <c r="B102" s="4">
        <f>Partidas!F102</f>
        <v>40352</v>
      </c>
      <c r="C102" s="1">
        <f>Partidas!A102</f>
        <v>2010</v>
      </c>
      <c r="D102" s="1" t="str">
        <f>Partidas!H102</f>
        <v>Slovenia</v>
      </c>
      <c r="E102" s="1" t="str">
        <f>Partidas!I102</f>
        <v>England</v>
      </c>
      <c r="F102" s="5">
        <f>Partidas!J102</f>
        <v>0</v>
      </c>
      <c r="G102" s="5">
        <f>Partidas!K102</f>
        <v>1</v>
      </c>
      <c r="H102" s="1" t="str">
        <f>Partidas!M102</f>
        <v>A</v>
      </c>
      <c r="I102" s="5">
        <f t="shared" si="18"/>
        <v>1</v>
      </c>
      <c r="J102" s="1" t="b">
        <f t="shared" si="19"/>
        <v>0</v>
      </c>
      <c r="K102" s="1" t="b">
        <f t="shared" si="20"/>
        <v>0</v>
      </c>
      <c r="L102" s="1" t="b">
        <f t="shared" si="21"/>
        <v>0</v>
      </c>
      <c r="M102" s="1" t="b">
        <f t="shared" si="22"/>
        <v>1</v>
      </c>
      <c r="N102" s="1" t="b">
        <f t="shared" si="23"/>
        <v>1</v>
      </c>
      <c r="O102" s="1" t="b">
        <f t="shared" si="24"/>
        <v>0</v>
      </c>
      <c r="P102" s="1" t="b">
        <f t="shared" si="25"/>
        <v>0</v>
      </c>
      <c r="Q102" s="1" t="b">
        <f t="shared" si="26"/>
        <v>1</v>
      </c>
      <c r="R102" s="1" t="b">
        <f t="shared" si="27"/>
        <v>1</v>
      </c>
      <c r="S102" s="5">
        <f>Partidas!T102</f>
        <v>2</v>
      </c>
      <c r="T102" s="5">
        <f>Partidas!U102</f>
        <v>11</v>
      </c>
      <c r="U102" s="5">
        <f t="shared" si="28"/>
        <v>13</v>
      </c>
      <c r="V102" s="5" t="b">
        <f t="shared" si="29"/>
        <v>1</v>
      </c>
      <c r="W102" s="5" t="b">
        <f t="shared" si="30"/>
        <v>1</v>
      </c>
      <c r="X102" s="5">
        <f>Partidas!X102</f>
        <v>3</v>
      </c>
      <c r="Y102" s="5">
        <f>Partidas!Y102</f>
        <v>1</v>
      </c>
      <c r="Z102" s="5">
        <f>Partidas!AG102</f>
        <v>0</v>
      </c>
      <c r="AA102" s="5">
        <f>Partidas!AH102</f>
        <v>0</v>
      </c>
      <c r="AB102" s="5">
        <f t="shared" si="31"/>
        <v>4</v>
      </c>
      <c r="AC102" s="1" t="b">
        <f t="shared" si="32"/>
        <v>1</v>
      </c>
      <c r="AD102" s="1" t="b">
        <f t="shared" si="33"/>
        <v>0</v>
      </c>
      <c r="AE102" s="1" t="b">
        <f t="shared" si="34"/>
        <v>0</v>
      </c>
      <c r="AF102" s="1" t="str">
        <f>Partidas!W102</f>
        <v>ok</v>
      </c>
      <c r="AG102" s="1" t="str">
        <f>Partidas!AK102</f>
        <v>ok</v>
      </c>
      <c r="AH102" s="1" t="str">
        <f t="shared" si="35"/>
        <v>Fjelstul World Cup Database + FootyStats CSV</v>
      </c>
      <c r="AI102" s="1">
        <f>Partidas!AX102</f>
        <v>0</v>
      </c>
    </row>
    <row r="103" spans="1:35" ht="15" customHeight="1">
      <c r="A103" s="1" t="str">
        <f>Partidas!C103</f>
        <v>M-2010-38</v>
      </c>
      <c r="B103" s="4">
        <f>Partidas!F103</f>
        <v>40352</v>
      </c>
      <c r="C103" s="1">
        <f>Partidas!A103</f>
        <v>2010</v>
      </c>
      <c r="D103" s="1" t="str">
        <f>Partidas!H103</f>
        <v>United States</v>
      </c>
      <c r="E103" s="1" t="str">
        <f>Partidas!I103</f>
        <v>Algeria</v>
      </c>
      <c r="F103" s="5">
        <f>Partidas!J103</f>
        <v>1</v>
      </c>
      <c r="G103" s="5">
        <f>Partidas!K103</f>
        <v>0</v>
      </c>
      <c r="H103" s="1" t="str">
        <f>Partidas!M103</f>
        <v>H</v>
      </c>
      <c r="I103" s="5">
        <f t="shared" si="18"/>
        <v>1</v>
      </c>
      <c r="J103" s="1" t="b">
        <f t="shared" si="19"/>
        <v>0</v>
      </c>
      <c r="K103" s="1" t="b">
        <f t="shared" si="20"/>
        <v>0</v>
      </c>
      <c r="L103" s="1" t="b">
        <f t="shared" si="21"/>
        <v>0</v>
      </c>
      <c r="M103" s="1" t="b">
        <f t="shared" si="22"/>
        <v>1</v>
      </c>
      <c r="N103" s="1" t="b">
        <f t="shared" si="23"/>
        <v>1</v>
      </c>
      <c r="O103" s="1" t="b">
        <f t="shared" si="24"/>
        <v>0</v>
      </c>
      <c r="P103" s="1" t="b">
        <f t="shared" si="25"/>
        <v>1</v>
      </c>
      <c r="Q103" s="1" t="b">
        <f t="shared" si="26"/>
        <v>1</v>
      </c>
      <c r="R103" s="1" t="b">
        <f t="shared" si="27"/>
        <v>0</v>
      </c>
      <c r="S103" s="5">
        <f>Partidas!T103</f>
        <v>4</v>
      </c>
      <c r="T103" s="5">
        <f>Partidas!U103</f>
        <v>6</v>
      </c>
      <c r="U103" s="5">
        <f t="shared" si="28"/>
        <v>10</v>
      </c>
      <c r="V103" s="5" t="b">
        <f t="shared" si="29"/>
        <v>1</v>
      </c>
      <c r="W103" s="5" t="b">
        <f t="shared" si="30"/>
        <v>1</v>
      </c>
      <c r="X103" s="5">
        <f>Partidas!X103</f>
        <v>2</v>
      </c>
      <c r="Y103" s="5">
        <f>Partidas!Y103</f>
        <v>3</v>
      </c>
      <c r="Z103" s="5">
        <f>Partidas!AG103</f>
        <v>0</v>
      </c>
      <c r="AA103" s="5">
        <f>Partidas!AH103</f>
        <v>1</v>
      </c>
      <c r="AB103" s="5">
        <f t="shared" si="31"/>
        <v>6</v>
      </c>
      <c r="AC103" s="1" t="b">
        <f t="shared" si="32"/>
        <v>1</v>
      </c>
      <c r="AD103" s="1" t="b">
        <f t="shared" si="33"/>
        <v>1</v>
      </c>
      <c r="AE103" s="1" t="b">
        <f t="shared" si="34"/>
        <v>1</v>
      </c>
      <c r="AF103" s="1" t="str">
        <f>Partidas!W103</f>
        <v>ok</v>
      </c>
      <c r="AG103" s="1" t="str">
        <f>Partidas!AK103</f>
        <v>ok</v>
      </c>
      <c r="AH103" s="1" t="str">
        <f t="shared" si="35"/>
        <v>Fjelstul World Cup Database + FootyStats CSV</v>
      </c>
      <c r="AI103" s="1">
        <f>Partidas!AX103</f>
        <v>0</v>
      </c>
    </row>
    <row r="104" spans="1:35" ht="15" customHeight="1">
      <c r="A104" s="1" t="str">
        <f>Partidas!C104</f>
        <v>M-2010-39</v>
      </c>
      <c r="B104" s="4">
        <f>Partidas!F104</f>
        <v>40352</v>
      </c>
      <c r="C104" s="1">
        <f>Partidas!A104</f>
        <v>2010</v>
      </c>
      <c r="D104" s="1" t="str">
        <f>Partidas!H104</f>
        <v>Australia</v>
      </c>
      <c r="E104" s="1" t="str">
        <f>Partidas!I104</f>
        <v>Serbia</v>
      </c>
      <c r="F104" s="5">
        <f>Partidas!J104</f>
        <v>2</v>
      </c>
      <c r="G104" s="5">
        <f>Partidas!K104</f>
        <v>1</v>
      </c>
      <c r="H104" s="1" t="str">
        <f>Partidas!M104</f>
        <v>H</v>
      </c>
      <c r="I104" s="5">
        <f t="shared" si="18"/>
        <v>3</v>
      </c>
      <c r="J104" s="1" t="b">
        <f t="shared" si="19"/>
        <v>1</v>
      </c>
      <c r="K104" s="1" t="b">
        <f t="shared" si="20"/>
        <v>1</v>
      </c>
      <c r="L104" s="1" t="b">
        <f t="shared" si="21"/>
        <v>0</v>
      </c>
      <c r="M104" s="1" t="b">
        <f t="shared" si="22"/>
        <v>0</v>
      </c>
      <c r="N104" s="1" t="b">
        <f t="shared" si="23"/>
        <v>1</v>
      </c>
      <c r="O104" s="1" t="b">
        <f t="shared" si="24"/>
        <v>1</v>
      </c>
      <c r="P104" s="1" t="b">
        <f t="shared" si="25"/>
        <v>1</v>
      </c>
      <c r="Q104" s="1" t="b">
        <f t="shared" si="26"/>
        <v>1</v>
      </c>
      <c r="R104" s="1" t="b">
        <f t="shared" si="27"/>
        <v>0</v>
      </c>
      <c r="S104" s="5">
        <f>Partidas!T104</f>
        <v>5</v>
      </c>
      <c r="T104" s="5">
        <f>Partidas!U104</f>
        <v>6</v>
      </c>
      <c r="U104" s="5">
        <f t="shared" si="28"/>
        <v>11</v>
      </c>
      <c r="V104" s="5" t="b">
        <f t="shared" si="29"/>
        <v>1</v>
      </c>
      <c r="W104" s="5" t="b">
        <f t="shared" si="30"/>
        <v>1</v>
      </c>
      <c r="X104" s="5">
        <f>Partidas!X104</f>
        <v>3</v>
      </c>
      <c r="Y104" s="5">
        <f>Partidas!Y104</f>
        <v>2</v>
      </c>
      <c r="Z104" s="5">
        <f>Partidas!AG104</f>
        <v>0</v>
      </c>
      <c r="AA104" s="5">
        <f>Partidas!AH104</f>
        <v>0</v>
      </c>
      <c r="AB104" s="5">
        <f t="shared" si="31"/>
        <v>5</v>
      </c>
      <c r="AC104" s="1" t="b">
        <f t="shared" si="32"/>
        <v>1</v>
      </c>
      <c r="AD104" s="1" t="b">
        <f t="shared" si="33"/>
        <v>1</v>
      </c>
      <c r="AE104" s="1" t="b">
        <f t="shared" si="34"/>
        <v>0</v>
      </c>
      <c r="AF104" s="1" t="str">
        <f>Partidas!W104</f>
        <v>ok</v>
      </c>
      <c r="AG104" s="1" t="str">
        <f>Partidas!AK104</f>
        <v>ok</v>
      </c>
      <c r="AH104" s="1" t="str">
        <f t="shared" si="35"/>
        <v>Fjelstul World Cup Database + FootyStats CSV</v>
      </c>
      <c r="AI104" s="1">
        <f>Partidas!AX104</f>
        <v>0</v>
      </c>
    </row>
    <row r="105" spans="1:35" ht="15" customHeight="1">
      <c r="A105" s="1" t="str">
        <f>Partidas!C105</f>
        <v>M-2010-40</v>
      </c>
      <c r="B105" s="4">
        <f>Partidas!F105</f>
        <v>40352</v>
      </c>
      <c r="C105" s="1">
        <f>Partidas!A105</f>
        <v>2010</v>
      </c>
      <c r="D105" s="1" t="str">
        <f>Partidas!H105</f>
        <v>Ghana</v>
      </c>
      <c r="E105" s="1" t="str">
        <f>Partidas!I105</f>
        <v>Germany</v>
      </c>
      <c r="F105" s="5">
        <f>Partidas!J105</f>
        <v>0</v>
      </c>
      <c r="G105" s="5">
        <f>Partidas!K105</f>
        <v>1</v>
      </c>
      <c r="H105" s="1" t="str">
        <f>Partidas!M105</f>
        <v>A</v>
      </c>
      <c r="I105" s="5">
        <f t="shared" si="18"/>
        <v>1</v>
      </c>
      <c r="J105" s="1" t="b">
        <f t="shared" si="19"/>
        <v>0</v>
      </c>
      <c r="K105" s="1" t="b">
        <f t="shared" si="20"/>
        <v>0</v>
      </c>
      <c r="L105" s="1" t="b">
        <f t="shared" si="21"/>
        <v>0</v>
      </c>
      <c r="M105" s="1" t="b">
        <f t="shared" si="22"/>
        <v>1</v>
      </c>
      <c r="N105" s="1" t="b">
        <f t="shared" si="23"/>
        <v>1</v>
      </c>
      <c r="O105" s="1" t="b">
        <f t="shared" si="24"/>
        <v>0</v>
      </c>
      <c r="P105" s="1" t="b">
        <f t="shared" si="25"/>
        <v>0</v>
      </c>
      <c r="Q105" s="1" t="b">
        <f t="shared" si="26"/>
        <v>1</v>
      </c>
      <c r="R105" s="1" t="b">
        <f t="shared" si="27"/>
        <v>1</v>
      </c>
      <c r="S105" s="5">
        <f>Partidas!T105</f>
        <v>4</v>
      </c>
      <c r="T105" s="5">
        <f>Partidas!U105</f>
        <v>7</v>
      </c>
      <c r="U105" s="5">
        <f t="shared" si="28"/>
        <v>11</v>
      </c>
      <c r="V105" s="5" t="b">
        <f t="shared" si="29"/>
        <v>1</v>
      </c>
      <c r="W105" s="5" t="b">
        <f t="shared" si="30"/>
        <v>1</v>
      </c>
      <c r="X105" s="5">
        <f>Partidas!X105</f>
        <v>1</v>
      </c>
      <c r="Y105" s="5">
        <f>Partidas!Y105</f>
        <v>1</v>
      </c>
      <c r="Z105" s="5">
        <f>Partidas!AG105</f>
        <v>0</v>
      </c>
      <c r="AA105" s="5">
        <f>Partidas!AH105</f>
        <v>0</v>
      </c>
      <c r="AB105" s="5">
        <f t="shared" si="31"/>
        <v>2</v>
      </c>
      <c r="AC105" s="1" t="b">
        <f t="shared" si="32"/>
        <v>0</v>
      </c>
      <c r="AD105" s="1" t="b">
        <f t="shared" si="33"/>
        <v>0</v>
      </c>
      <c r="AE105" s="1" t="b">
        <f t="shared" si="34"/>
        <v>0</v>
      </c>
      <c r="AF105" s="1" t="str">
        <f>Partidas!W105</f>
        <v>ok</v>
      </c>
      <c r="AG105" s="1" t="str">
        <f>Partidas!AK105</f>
        <v>ok</v>
      </c>
      <c r="AH105" s="1" t="str">
        <f t="shared" si="35"/>
        <v>Fjelstul World Cup Database + FootyStats CSV</v>
      </c>
      <c r="AI105" s="1">
        <f>Partidas!AX105</f>
        <v>0</v>
      </c>
    </row>
    <row r="106" spans="1:35" ht="15" customHeight="1">
      <c r="A106" s="1" t="str">
        <f>Partidas!C106</f>
        <v>M-2010-41</v>
      </c>
      <c r="B106" s="4">
        <f>Partidas!F106</f>
        <v>40353</v>
      </c>
      <c r="C106" s="1">
        <f>Partidas!A106</f>
        <v>2010</v>
      </c>
      <c r="D106" s="1" t="str">
        <f>Partidas!H106</f>
        <v>Paraguay</v>
      </c>
      <c r="E106" s="1" t="str">
        <f>Partidas!I106</f>
        <v>New Zealand</v>
      </c>
      <c r="F106" s="5">
        <f>Partidas!J106</f>
        <v>0</v>
      </c>
      <c r="G106" s="5">
        <f>Partidas!K106</f>
        <v>0</v>
      </c>
      <c r="H106" s="1" t="str">
        <f>Partidas!M106</f>
        <v>D</v>
      </c>
      <c r="I106" s="5">
        <f t="shared" si="18"/>
        <v>0</v>
      </c>
      <c r="J106" s="1" t="b">
        <f t="shared" si="19"/>
        <v>0</v>
      </c>
      <c r="K106" s="1" t="b">
        <f t="shared" si="20"/>
        <v>0</v>
      </c>
      <c r="L106" s="1" t="b">
        <f t="shared" si="21"/>
        <v>0</v>
      </c>
      <c r="M106" s="1" t="b">
        <f t="shared" si="22"/>
        <v>1</v>
      </c>
      <c r="N106" s="1" t="b">
        <f t="shared" si="23"/>
        <v>1</v>
      </c>
      <c r="O106" s="1" t="b">
        <f t="shared" si="24"/>
        <v>0</v>
      </c>
      <c r="P106" s="1" t="b">
        <f t="shared" si="25"/>
        <v>1</v>
      </c>
      <c r="Q106" s="1" t="b">
        <f t="shared" si="26"/>
        <v>0</v>
      </c>
      <c r="R106" s="1" t="b">
        <f t="shared" si="27"/>
        <v>1</v>
      </c>
      <c r="S106" s="5">
        <f>Partidas!T106</f>
        <v>2</v>
      </c>
      <c r="T106" s="5">
        <f>Partidas!U106</f>
        <v>0</v>
      </c>
      <c r="U106" s="5">
        <f t="shared" si="28"/>
        <v>2</v>
      </c>
      <c r="V106" s="5" t="b">
        <f t="shared" si="29"/>
        <v>0</v>
      </c>
      <c r="W106" s="5" t="b">
        <f t="shared" si="30"/>
        <v>0</v>
      </c>
      <c r="X106" s="5">
        <f>Partidas!X106</f>
        <v>2</v>
      </c>
      <c r="Y106" s="5">
        <f>Partidas!Y106</f>
        <v>1</v>
      </c>
      <c r="Z106" s="5">
        <f>Partidas!AG106</f>
        <v>0</v>
      </c>
      <c r="AA106" s="5">
        <f>Partidas!AH106</f>
        <v>0</v>
      </c>
      <c r="AB106" s="5">
        <f t="shared" si="31"/>
        <v>3</v>
      </c>
      <c r="AC106" s="1" t="b">
        <f t="shared" si="32"/>
        <v>0</v>
      </c>
      <c r="AD106" s="1" t="b">
        <f t="shared" si="33"/>
        <v>0</v>
      </c>
      <c r="AE106" s="1" t="b">
        <f t="shared" si="34"/>
        <v>0</v>
      </c>
      <c r="AF106" s="1" t="str">
        <f>Partidas!W106</f>
        <v>ok</v>
      </c>
      <c r="AG106" s="1" t="str">
        <f>Partidas!AK106</f>
        <v>ok</v>
      </c>
      <c r="AH106" s="1" t="str">
        <f t="shared" si="35"/>
        <v>Fjelstul World Cup Database + FootyStats CSV</v>
      </c>
      <c r="AI106" s="1">
        <f>Partidas!AX106</f>
        <v>0</v>
      </c>
    </row>
    <row r="107" spans="1:35" ht="15" customHeight="1">
      <c r="A107" s="1" t="str">
        <f>Partidas!C107</f>
        <v>M-2010-42</v>
      </c>
      <c r="B107" s="4">
        <f>Partidas!F107</f>
        <v>40353</v>
      </c>
      <c r="C107" s="1">
        <f>Partidas!A107</f>
        <v>2010</v>
      </c>
      <c r="D107" s="1" t="str">
        <f>Partidas!H107</f>
        <v>Slovakia</v>
      </c>
      <c r="E107" s="1" t="str">
        <f>Partidas!I107</f>
        <v>Italy</v>
      </c>
      <c r="F107" s="5">
        <f>Partidas!J107</f>
        <v>3</v>
      </c>
      <c r="G107" s="5">
        <f>Partidas!K107</f>
        <v>2</v>
      </c>
      <c r="H107" s="1" t="str">
        <f>Partidas!M107</f>
        <v>H</v>
      </c>
      <c r="I107" s="5">
        <f t="shared" si="18"/>
        <v>5</v>
      </c>
      <c r="J107" s="1" t="b">
        <f t="shared" si="19"/>
        <v>1</v>
      </c>
      <c r="K107" s="1" t="b">
        <f t="shared" si="20"/>
        <v>1</v>
      </c>
      <c r="L107" s="1" t="b">
        <f t="shared" si="21"/>
        <v>1</v>
      </c>
      <c r="M107" s="1" t="b">
        <f t="shared" si="22"/>
        <v>0</v>
      </c>
      <c r="N107" s="1" t="b">
        <f t="shared" si="23"/>
        <v>0</v>
      </c>
      <c r="O107" s="1" t="b">
        <f t="shared" si="24"/>
        <v>1</v>
      </c>
      <c r="P107" s="1" t="b">
        <f t="shared" si="25"/>
        <v>1</v>
      </c>
      <c r="Q107" s="1" t="b">
        <f t="shared" si="26"/>
        <v>1</v>
      </c>
      <c r="R107" s="1" t="b">
        <f t="shared" si="27"/>
        <v>0</v>
      </c>
      <c r="S107" s="5">
        <f>Partidas!T107</f>
        <v>6</v>
      </c>
      <c r="T107" s="5">
        <f>Partidas!U107</f>
        <v>3</v>
      </c>
      <c r="U107" s="5">
        <f t="shared" si="28"/>
        <v>9</v>
      </c>
      <c r="V107" s="5" t="b">
        <f t="shared" si="29"/>
        <v>1</v>
      </c>
      <c r="W107" s="5" t="b">
        <f t="shared" si="30"/>
        <v>0</v>
      </c>
      <c r="X107" s="5">
        <f>Partidas!X107</f>
        <v>4</v>
      </c>
      <c r="Y107" s="5">
        <f>Partidas!Y107</f>
        <v>4</v>
      </c>
      <c r="Z107" s="5">
        <f>Partidas!AG107</f>
        <v>0</v>
      </c>
      <c r="AA107" s="5">
        <f>Partidas!AH107</f>
        <v>0</v>
      </c>
      <c r="AB107" s="5">
        <f t="shared" si="31"/>
        <v>8</v>
      </c>
      <c r="AC107" s="1" t="b">
        <f t="shared" si="32"/>
        <v>1</v>
      </c>
      <c r="AD107" s="1" t="b">
        <f t="shared" si="33"/>
        <v>1</v>
      </c>
      <c r="AE107" s="1" t="b">
        <f t="shared" si="34"/>
        <v>1</v>
      </c>
      <c r="AF107" s="1" t="str">
        <f>Partidas!W107</f>
        <v>ok</v>
      </c>
      <c r="AG107" s="1" t="str">
        <f>Partidas!AK107</f>
        <v>ok</v>
      </c>
      <c r="AH107" s="1" t="str">
        <f t="shared" si="35"/>
        <v>Fjelstul World Cup Database + FootyStats CSV</v>
      </c>
      <c r="AI107" s="1">
        <f>Partidas!AX107</f>
        <v>0</v>
      </c>
    </row>
    <row r="108" spans="1:35" ht="15" customHeight="1">
      <c r="A108" s="1" t="str">
        <f>Partidas!C108</f>
        <v>M-2010-43</v>
      </c>
      <c r="B108" s="4">
        <f>Partidas!F108</f>
        <v>40353</v>
      </c>
      <c r="C108" s="1">
        <f>Partidas!A108</f>
        <v>2010</v>
      </c>
      <c r="D108" s="1" t="str">
        <f>Partidas!H108</f>
        <v>Cameroon</v>
      </c>
      <c r="E108" s="1" t="str">
        <f>Partidas!I108</f>
        <v>Netherlands</v>
      </c>
      <c r="F108" s="5">
        <f>Partidas!J108</f>
        <v>1</v>
      </c>
      <c r="G108" s="5">
        <f>Partidas!K108</f>
        <v>2</v>
      </c>
      <c r="H108" s="1" t="str">
        <f>Partidas!M108</f>
        <v>A</v>
      </c>
      <c r="I108" s="5">
        <f t="shared" si="18"/>
        <v>3</v>
      </c>
      <c r="J108" s="1" t="b">
        <f t="shared" si="19"/>
        <v>1</v>
      </c>
      <c r="K108" s="1" t="b">
        <f t="shared" si="20"/>
        <v>1</v>
      </c>
      <c r="L108" s="1" t="b">
        <f t="shared" si="21"/>
        <v>0</v>
      </c>
      <c r="M108" s="1" t="b">
        <f t="shared" si="22"/>
        <v>0</v>
      </c>
      <c r="N108" s="1" t="b">
        <f t="shared" si="23"/>
        <v>1</v>
      </c>
      <c r="O108" s="1" t="b">
        <f t="shared" si="24"/>
        <v>1</v>
      </c>
      <c r="P108" s="1" t="b">
        <f t="shared" si="25"/>
        <v>0</v>
      </c>
      <c r="Q108" s="1" t="b">
        <f t="shared" si="26"/>
        <v>1</v>
      </c>
      <c r="R108" s="1" t="b">
        <f t="shared" si="27"/>
        <v>1</v>
      </c>
      <c r="S108" s="5">
        <f>Partidas!T108</f>
        <v>6</v>
      </c>
      <c r="T108" s="5">
        <f>Partidas!U108</f>
        <v>1</v>
      </c>
      <c r="U108" s="5">
        <f t="shared" si="28"/>
        <v>7</v>
      </c>
      <c r="V108" s="5" t="b">
        <f t="shared" si="29"/>
        <v>0</v>
      </c>
      <c r="W108" s="5" t="b">
        <f t="shared" si="30"/>
        <v>0</v>
      </c>
      <c r="X108" s="5">
        <f>Partidas!X108</f>
        <v>2</v>
      </c>
      <c r="Y108" s="5">
        <f>Partidas!Y108</f>
        <v>3</v>
      </c>
      <c r="Z108" s="5">
        <f>Partidas!AG108</f>
        <v>0</v>
      </c>
      <c r="AA108" s="5">
        <f>Partidas!AH108</f>
        <v>0</v>
      </c>
      <c r="AB108" s="5">
        <f t="shared" si="31"/>
        <v>5</v>
      </c>
      <c r="AC108" s="1" t="b">
        <f t="shared" si="32"/>
        <v>1</v>
      </c>
      <c r="AD108" s="1" t="b">
        <f t="shared" si="33"/>
        <v>1</v>
      </c>
      <c r="AE108" s="1" t="b">
        <f t="shared" si="34"/>
        <v>0</v>
      </c>
      <c r="AF108" s="1" t="str">
        <f>Partidas!W108</f>
        <v>ok</v>
      </c>
      <c r="AG108" s="1" t="str">
        <f>Partidas!AK108</f>
        <v>ok</v>
      </c>
      <c r="AH108" s="1" t="str">
        <f t="shared" si="35"/>
        <v>Fjelstul World Cup Database + FootyStats CSV</v>
      </c>
      <c r="AI108" s="1">
        <f>Partidas!AX108</f>
        <v>0</v>
      </c>
    </row>
    <row r="109" spans="1:35" ht="15" customHeight="1">
      <c r="A109" s="1" t="str">
        <f>Partidas!C109</f>
        <v>M-2010-44</v>
      </c>
      <c r="B109" s="4">
        <f>Partidas!F109</f>
        <v>40353</v>
      </c>
      <c r="C109" s="1">
        <f>Partidas!A109</f>
        <v>2010</v>
      </c>
      <c r="D109" s="1" t="str">
        <f>Partidas!H109</f>
        <v>Denmark</v>
      </c>
      <c r="E109" s="1" t="str">
        <f>Partidas!I109</f>
        <v>Japan</v>
      </c>
      <c r="F109" s="5">
        <f>Partidas!J109</f>
        <v>1</v>
      </c>
      <c r="G109" s="5">
        <f>Partidas!K109</f>
        <v>3</v>
      </c>
      <c r="H109" s="1" t="str">
        <f>Partidas!M109</f>
        <v>A</v>
      </c>
      <c r="I109" s="5">
        <f t="shared" si="18"/>
        <v>4</v>
      </c>
      <c r="J109" s="1" t="b">
        <f t="shared" si="19"/>
        <v>1</v>
      </c>
      <c r="K109" s="1" t="b">
        <f t="shared" si="20"/>
        <v>1</v>
      </c>
      <c r="L109" s="1" t="b">
        <f t="shared" si="21"/>
        <v>1</v>
      </c>
      <c r="M109" s="1" t="b">
        <f t="shared" si="22"/>
        <v>0</v>
      </c>
      <c r="N109" s="1" t="b">
        <f t="shared" si="23"/>
        <v>0</v>
      </c>
      <c r="O109" s="1" t="b">
        <f t="shared" si="24"/>
        <v>1</v>
      </c>
      <c r="P109" s="1" t="b">
        <f t="shared" si="25"/>
        <v>0</v>
      </c>
      <c r="Q109" s="1" t="b">
        <f t="shared" si="26"/>
        <v>1</v>
      </c>
      <c r="R109" s="1" t="b">
        <f t="shared" si="27"/>
        <v>1</v>
      </c>
      <c r="S109" s="5">
        <f>Partidas!T109</f>
        <v>7</v>
      </c>
      <c r="T109" s="5">
        <f>Partidas!U109</f>
        <v>2</v>
      </c>
      <c r="U109" s="5">
        <f t="shared" si="28"/>
        <v>9</v>
      </c>
      <c r="V109" s="5" t="b">
        <f t="shared" si="29"/>
        <v>1</v>
      </c>
      <c r="W109" s="5" t="b">
        <f t="shared" si="30"/>
        <v>0</v>
      </c>
      <c r="X109" s="5">
        <f>Partidas!X109</f>
        <v>3</v>
      </c>
      <c r="Y109" s="5">
        <f>Partidas!Y109</f>
        <v>2</v>
      </c>
      <c r="Z109" s="5">
        <f>Partidas!AG109</f>
        <v>0</v>
      </c>
      <c r="AA109" s="5">
        <f>Partidas!AH109</f>
        <v>0</v>
      </c>
      <c r="AB109" s="5">
        <f t="shared" si="31"/>
        <v>5</v>
      </c>
      <c r="AC109" s="1" t="b">
        <f t="shared" si="32"/>
        <v>1</v>
      </c>
      <c r="AD109" s="1" t="b">
        <f t="shared" si="33"/>
        <v>1</v>
      </c>
      <c r="AE109" s="1" t="b">
        <f t="shared" si="34"/>
        <v>0</v>
      </c>
      <c r="AF109" s="1" t="str">
        <f>Partidas!W109</f>
        <v>ok</v>
      </c>
      <c r="AG109" s="1" t="str">
        <f>Partidas!AK109</f>
        <v>ok</v>
      </c>
      <c r="AH109" s="1" t="str">
        <f t="shared" si="35"/>
        <v>Fjelstul World Cup Database + FootyStats CSV</v>
      </c>
      <c r="AI109" s="1">
        <f>Partidas!AX109</f>
        <v>0</v>
      </c>
    </row>
    <row r="110" spans="1:35" ht="15" customHeight="1">
      <c r="A110" s="1" t="str">
        <f>Partidas!C110</f>
        <v>M-2010-45</v>
      </c>
      <c r="B110" s="4">
        <f>Partidas!F110</f>
        <v>40354</v>
      </c>
      <c r="C110" s="1">
        <f>Partidas!A110</f>
        <v>2010</v>
      </c>
      <c r="D110" s="1" t="str">
        <f>Partidas!H110</f>
        <v>North Korea</v>
      </c>
      <c r="E110" s="1" t="str">
        <f>Partidas!I110</f>
        <v>Ivory Coast</v>
      </c>
      <c r="F110" s="5">
        <f>Partidas!J110</f>
        <v>0</v>
      </c>
      <c r="G110" s="5">
        <f>Partidas!K110</f>
        <v>3</v>
      </c>
      <c r="H110" s="1" t="str">
        <f>Partidas!M110</f>
        <v>A</v>
      </c>
      <c r="I110" s="5">
        <f t="shared" si="18"/>
        <v>3</v>
      </c>
      <c r="J110" s="1" t="b">
        <f t="shared" si="19"/>
        <v>1</v>
      </c>
      <c r="K110" s="1" t="b">
        <f t="shared" si="20"/>
        <v>1</v>
      </c>
      <c r="L110" s="1" t="b">
        <f t="shared" si="21"/>
        <v>0</v>
      </c>
      <c r="M110" s="1" t="b">
        <f t="shared" si="22"/>
        <v>0</v>
      </c>
      <c r="N110" s="1" t="b">
        <f t="shared" si="23"/>
        <v>1</v>
      </c>
      <c r="O110" s="1" t="b">
        <f t="shared" si="24"/>
        <v>0</v>
      </c>
      <c r="P110" s="1" t="b">
        <f t="shared" si="25"/>
        <v>0</v>
      </c>
      <c r="Q110" s="1" t="b">
        <f t="shared" si="26"/>
        <v>1</v>
      </c>
      <c r="R110" s="1" t="b">
        <f t="shared" si="27"/>
        <v>1</v>
      </c>
      <c r="S110" s="5">
        <f>Partidas!T110</f>
        <v>0</v>
      </c>
      <c r="T110" s="5">
        <f>Partidas!U110</f>
        <v>7</v>
      </c>
      <c r="U110" s="5">
        <f t="shared" si="28"/>
        <v>7</v>
      </c>
      <c r="V110" s="5" t="b">
        <f t="shared" si="29"/>
        <v>0</v>
      </c>
      <c r="W110" s="5" t="b">
        <f t="shared" si="30"/>
        <v>0</v>
      </c>
      <c r="X110" s="5">
        <f>Partidas!X110</f>
        <v>0</v>
      </c>
      <c r="Y110" s="5">
        <f>Partidas!Y110</f>
        <v>0</v>
      </c>
      <c r="Z110" s="5">
        <f>Partidas!AG110</f>
        <v>0</v>
      </c>
      <c r="AA110" s="5">
        <f>Partidas!AH110</f>
        <v>0</v>
      </c>
      <c r="AB110" s="5">
        <f t="shared" si="31"/>
        <v>0</v>
      </c>
      <c r="AC110" s="1" t="b">
        <f t="shared" si="32"/>
        <v>0</v>
      </c>
      <c r="AD110" s="1" t="b">
        <f t="shared" si="33"/>
        <v>0</v>
      </c>
      <c r="AE110" s="1" t="b">
        <f t="shared" si="34"/>
        <v>0</v>
      </c>
      <c r="AF110" s="1" t="str">
        <f>Partidas!W110</f>
        <v>ok</v>
      </c>
      <c r="AG110" s="1" t="str">
        <f>Partidas!AK110</f>
        <v>ok</v>
      </c>
      <c r="AH110" s="1" t="str">
        <f t="shared" si="35"/>
        <v>Fjelstul World Cup Database + FootyStats CSV</v>
      </c>
      <c r="AI110" s="1">
        <f>Partidas!AX110</f>
        <v>0</v>
      </c>
    </row>
    <row r="111" spans="1:35" ht="15" customHeight="1">
      <c r="A111" s="1" t="str">
        <f>Partidas!C111</f>
        <v>M-2010-46</v>
      </c>
      <c r="B111" s="4">
        <f>Partidas!F111</f>
        <v>40354</v>
      </c>
      <c r="C111" s="1">
        <f>Partidas!A111</f>
        <v>2010</v>
      </c>
      <c r="D111" s="1" t="str">
        <f>Partidas!H111</f>
        <v>Portugal</v>
      </c>
      <c r="E111" s="1" t="str">
        <f>Partidas!I111</f>
        <v>Brazil</v>
      </c>
      <c r="F111" s="5">
        <f>Partidas!J111</f>
        <v>0</v>
      </c>
      <c r="G111" s="5">
        <f>Partidas!K111</f>
        <v>0</v>
      </c>
      <c r="H111" s="1" t="str">
        <f>Partidas!M111</f>
        <v>D</v>
      </c>
      <c r="I111" s="5">
        <f t="shared" si="18"/>
        <v>0</v>
      </c>
      <c r="J111" s="1" t="b">
        <f t="shared" si="19"/>
        <v>0</v>
      </c>
      <c r="K111" s="1" t="b">
        <f t="shared" si="20"/>
        <v>0</v>
      </c>
      <c r="L111" s="1" t="b">
        <f t="shared" si="21"/>
        <v>0</v>
      </c>
      <c r="M111" s="1" t="b">
        <f t="shared" si="22"/>
        <v>1</v>
      </c>
      <c r="N111" s="1" t="b">
        <f t="shared" si="23"/>
        <v>1</v>
      </c>
      <c r="O111" s="1" t="b">
        <f t="shared" si="24"/>
        <v>0</v>
      </c>
      <c r="P111" s="1" t="b">
        <f t="shared" si="25"/>
        <v>1</v>
      </c>
      <c r="Q111" s="1" t="b">
        <f t="shared" si="26"/>
        <v>0</v>
      </c>
      <c r="R111" s="1" t="b">
        <f t="shared" si="27"/>
        <v>1</v>
      </c>
      <c r="S111" s="5">
        <f>Partidas!T111</f>
        <v>4</v>
      </c>
      <c r="T111" s="5">
        <f>Partidas!U111</f>
        <v>7</v>
      </c>
      <c r="U111" s="5">
        <f t="shared" si="28"/>
        <v>11</v>
      </c>
      <c r="V111" s="5" t="b">
        <f t="shared" si="29"/>
        <v>1</v>
      </c>
      <c r="W111" s="5" t="b">
        <f t="shared" si="30"/>
        <v>1</v>
      </c>
      <c r="X111" s="5">
        <f>Partidas!X111</f>
        <v>4</v>
      </c>
      <c r="Y111" s="5">
        <f>Partidas!Y111</f>
        <v>3</v>
      </c>
      <c r="Z111" s="5">
        <f>Partidas!AG111</f>
        <v>0</v>
      </c>
      <c r="AA111" s="5">
        <f>Partidas!AH111</f>
        <v>0</v>
      </c>
      <c r="AB111" s="5">
        <f t="shared" si="31"/>
        <v>7</v>
      </c>
      <c r="AC111" s="1" t="b">
        <f t="shared" si="32"/>
        <v>1</v>
      </c>
      <c r="AD111" s="1" t="b">
        <f t="shared" si="33"/>
        <v>1</v>
      </c>
      <c r="AE111" s="1" t="b">
        <f t="shared" si="34"/>
        <v>1</v>
      </c>
      <c r="AF111" s="1" t="str">
        <f>Partidas!W111</f>
        <v>ok</v>
      </c>
      <c r="AG111" s="1" t="str">
        <f>Partidas!AK111</f>
        <v>ok</v>
      </c>
      <c r="AH111" s="1" t="str">
        <f t="shared" si="35"/>
        <v>Fjelstul World Cup Database + FootyStats CSV</v>
      </c>
      <c r="AI111" s="1">
        <f>Partidas!AX111</f>
        <v>0</v>
      </c>
    </row>
    <row r="112" spans="1:35" ht="15" customHeight="1">
      <c r="A112" s="1" t="str">
        <f>Partidas!C112</f>
        <v>M-2010-47</v>
      </c>
      <c r="B112" s="4">
        <f>Partidas!F112</f>
        <v>40354</v>
      </c>
      <c r="C112" s="1">
        <f>Partidas!A112</f>
        <v>2010</v>
      </c>
      <c r="D112" s="1" t="str">
        <f>Partidas!H112</f>
        <v>Chile</v>
      </c>
      <c r="E112" s="1" t="str">
        <f>Partidas!I112</f>
        <v>Spain</v>
      </c>
      <c r="F112" s="5">
        <f>Partidas!J112</f>
        <v>1</v>
      </c>
      <c r="G112" s="5">
        <f>Partidas!K112</f>
        <v>2</v>
      </c>
      <c r="H112" s="1" t="str">
        <f>Partidas!M112</f>
        <v>A</v>
      </c>
      <c r="I112" s="5">
        <f t="shared" si="18"/>
        <v>3</v>
      </c>
      <c r="J112" s="1" t="b">
        <f t="shared" si="19"/>
        <v>1</v>
      </c>
      <c r="K112" s="1" t="b">
        <f t="shared" si="20"/>
        <v>1</v>
      </c>
      <c r="L112" s="1" t="b">
        <f t="shared" si="21"/>
        <v>0</v>
      </c>
      <c r="M112" s="1" t="b">
        <f t="shared" si="22"/>
        <v>0</v>
      </c>
      <c r="N112" s="1" t="b">
        <f t="shared" si="23"/>
        <v>1</v>
      </c>
      <c r="O112" s="1" t="b">
        <f t="shared" si="24"/>
        <v>1</v>
      </c>
      <c r="P112" s="1" t="b">
        <f t="shared" si="25"/>
        <v>0</v>
      </c>
      <c r="Q112" s="1" t="b">
        <f t="shared" si="26"/>
        <v>1</v>
      </c>
      <c r="R112" s="1" t="b">
        <f t="shared" si="27"/>
        <v>1</v>
      </c>
      <c r="S112" s="5">
        <f>Partidas!T112</f>
        <v>3</v>
      </c>
      <c r="T112" s="5">
        <f>Partidas!U112</f>
        <v>4</v>
      </c>
      <c r="U112" s="5">
        <f t="shared" si="28"/>
        <v>7</v>
      </c>
      <c r="V112" s="5" t="b">
        <f t="shared" si="29"/>
        <v>0</v>
      </c>
      <c r="W112" s="5" t="b">
        <f t="shared" si="30"/>
        <v>0</v>
      </c>
      <c r="X112" s="5">
        <f>Partidas!X112</f>
        <v>3</v>
      </c>
      <c r="Y112" s="5">
        <f>Partidas!Y112</f>
        <v>0</v>
      </c>
      <c r="Z112" s="5">
        <f>Partidas!AG112</f>
        <v>1</v>
      </c>
      <c r="AA112" s="5">
        <f>Partidas!AH112</f>
        <v>0</v>
      </c>
      <c r="AB112" s="5">
        <f t="shared" si="31"/>
        <v>4</v>
      </c>
      <c r="AC112" s="1" t="b">
        <f t="shared" si="32"/>
        <v>1</v>
      </c>
      <c r="AD112" s="1" t="b">
        <f t="shared" si="33"/>
        <v>0</v>
      </c>
      <c r="AE112" s="1" t="b">
        <f t="shared" si="34"/>
        <v>0</v>
      </c>
      <c r="AF112" s="1" t="str">
        <f>Partidas!W112</f>
        <v>ok</v>
      </c>
      <c r="AG112" s="1" t="str">
        <f>Partidas!AK112</f>
        <v>ok</v>
      </c>
      <c r="AH112" s="1" t="str">
        <f t="shared" si="35"/>
        <v>Fjelstul World Cup Database + FootyStats CSV</v>
      </c>
      <c r="AI112" s="1">
        <f>Partidas!AX112</f>
        <v>0</v>
      </c>
    </row>
    <row r="113" spans="1:35" ht="15" customHeight="1">
      <c r="A113" s="1" t="str">
        <f>Partidas!C113</f>
        <v>M-2010-48</v>
      </c>
      <c r="B113" s="4">
        <f>Partidas!F113</f>
        <v>40354</v>
      </c>
      <c r="C113" s="1">
        <f>Partidas!A113</f>
        <v>2010</v>
      </c>
      <c r="D113" s="1" t="str">
        <f>Partidas!H113</f>
        <v>Switzerland</v>
      </c>
      <c r="E113" s="1" t="str">
        <f>Partidas!I113</f>
        <v>Honduras</v>
      </c>
      <c r="F113" s="5">
        <f>Partidas!J113</f>
        <v>0</v>
      </c>
      <c r="G113" s="5">
        <f>Partidas!K113</f>
        <v>0</v>
      </c>
      <c r="H113" s="1" t="str">
        <f>Partidas!M113</f>
        <v>D</v>
      </c>
      <c r="I113" s="5">
        <f t="shared" si="18"/>
        <v>0</v>
      </c>
      <c r="J113" s="1" t="b">
        <f t="shared" si="19"/>
        <v>0</v>
      </c>
      <c r="K113" s="1" t="b">
        <f t="shared" si="20"/>
        <v>0</v>
      </c>
      <c r="L113" s="1" t="b">
        <f t="shared" si="21"/>
        <v>0</v>
      </c>
      <c r="M113" s="1" t="b">
        <f t="shared" si="22"/>
        <v>1</v>
      </c>
      <c r="N113" s="1" t="b">
        <f t="shared" si="23"/>
        <v>1</v>
      </c>
      <c r="O113" s="1" t="b">
        <f t="shared" si="24"/>
        <v>0</v>
      </c>
      <c r="P113" s="1" t="b">
        <f t="shared" si="25"/>
        <v>1</v>
      </c>
      <c r="Q113" s="1" t="b">
        <f t="shared" si="26"/>
        <v>0</v>
      </c>
      <c r="R113" s="1" t="b">
        <f t="shared" si="27"/>
        <v>1</v>
      </c>
      <c r="S113" s="5">
        <f>Partidas!T113</f>
        <v>2</v>
      </c>
      <c r="T113" s="5">
        <f>Partidas!U113</f>
        <v>0</v>
      </c>
      <c r="U113" s="5">
        <f t="shared" si="28"/>
        <v>2</v>
      </c>
      <c r="V113" s="5" t="b">
        <f t="shared" si="29"/>
        <v>0</v>
      </c>
      <c r="W113" s="5" t="b">
        <f t="shared" si="30"/>
        <v>0</v>
      </c>
      <c r="X113" s="5">
        <f>Partidas!X113</f>
        <v>1</v>
      </c>
      <c r="Y113" s="5">
        <f>Partidas!Y113</f>
        <v>4</v>
      </c>
      <c r="Z113" s="5">
        <f>Partidas!AG113</f>
        <v>0</v>
      </c>
      <c r="AA113" s="5">
        <f>Partidas!AH113</f>
        <v>0</v>
      </c>
      <c r="AB113" s="5">
        <f t="shared" si="31"/>
        <v>5</v>
      </c>
      <c r="AC113" s="1" t="b">
        <f t="shared" si="32"/>
        <v>1</v>
      </c>
      <c r="AD113" s="1" t="b">
        <f t="shared" si="33"/>
        <v>1</v>
      </c>
      <c r="AE113" s="1" t="b">
        <f t="shared" si="34"/>
        <v>0</v>
      </c>
      <c r="AF113" s="1" t="str">
        <f>Partidas!W113</f>
        <v>ok</v>
      </c>
      <c r="AG113" s="1" t="str">
        <f>Partidas!AK113</f>
        <v>ok</v>
      </c>
      <c r="AH113" s="1" t="str">
        <f t="shared" si="35"/>
        <v>Fjelstul World Cup Database + FootyStats CSV</v>
      </c>
      <c r="AI113" s="1">
        <f>Partidas!AX113</f>
        <v>0</v>
      </c>
    </row>
    <row r="114" spans="1:35" ht="15" customHeight="1">
      <c r="A114" s="1" t="str">
        <f>Partidas!C114</f>
        <v>M-2010-49</v>
      </c>
      <c r="B114" s="4">
        <f>Partidas!F114</f>
        <v>40355</v>
      </c>
      <c r="C114" s="1">
        <f>Partidas!A114</f>
        <v>2010</v>
      </c>
      <c r="D114" s="1" t="str">
        <f>Partidas!H114</f>
        <v>Uruguay</v>
      </c>
      <c r="E114" s="1" t="str">
        <f>Partidas!I114</f>
        <v>South Korea</v>
      </c>
      <c r="F114" s="5">
        <f>Partidas!J114</f>
        <v>2</v>
      </c>
      <c r="G114" s="5">
        <f>Partidas!K114</f>
        <v>1</v>
      </c>
      <c r="H114" s="1" t="str">
        <f>Partidas!M114</f>
        <v>H</v>
      </c>
      <c r="I114" s="5">
        <f t="shared" si="18"/>
        <v>3</v>
      </c>
      <c r="J114" s="1" t="b">
        <f t="shared" si="19"/>
        <v>1</v>
      </c>
      <c r="K114" s="1" t="b">
        <f t="shared" si="20"/>
        <v>1</v>
      </c>
      <c r="L114" s="1" t="b">
        <f t="shared" si="21"/>
        <v>0</v>
      </c>
      <c r="M114" s="1" t="b">
        <f t="shared" si="22"/>
        <v>0</v>
      </c>
      <c r="N114" s="1" t="b">
        <f t="shared" si="23"/>
        <v>1</v>
      </c>
      <c r="O114" s="1" t="b">
        <f t="shared" si="24"/>
        <v>1</v>
      </c>
      <c r="P114" s="1" t="b">
        <f t="shared" si="25"/>
        <v>1</v>
      </c>
      <c r="Q114" s="1" t="b">
        <f t="shared" si="26"/>
        <v>1</v>
      </c>
      <c r="R114" s="1" t="b">
        <f t="shared" si="27"/>
        <v>0</v>
      </c>
      <c r="S114" s="5">
        <f>Partidas!T114</f>
        <v>3</v>
      </c>
      <c r="T114" s="5">
        <f>Partidas!U114</f>
        <v>3</v>
      </c>
      <c r="U114" s="5">
        <f t="shared" si="28"/>
        <v>6</v>
      </c>
      <c r="V114" s="5" t="b">
        <f t="shared" si="29"/>
        <v>0</v>
      </c>
      <c r="W114" s="5" t="b">
        <f t="shared" si="30"/>
        <v>0</v>
      </c>
      <c r="X114" s="5">
        <f>Partidas!X114</f>
        <v>0</v>
      </c>
      <c r="Y114" s="5">
        <f>Partidas!Y114</f>
        <v>3</v>
      </c>
      <c r="Z114" s="5">
        <f>Partidas!AG114</f>
        <v>0</v>
      </c>
      <c r="AA114" s="5">
        <f>Partidas!AH114</f>
        <v>0</v>
      </c>
      <c r="AB114" s="5">
        <f t="shared" si="31"/>
        <v>3</v>
      </c>
      <c r="AC114" s="1" t="b">
        <f t="shared" si="32"/>
        <v>0</v>
      </c>
      <c r="AD114" s="1" t="b">
        <f t="shared" si="33"/>
        <v>0</v>
      </c>
      <c r="AE114" s="1" t="b">
        <f t="shared" si="34"/>
        <v>0</v>
      </c>
      <c r="AF114" s="1" t="str">
        <f>Partidas!W114</f>
        <v>ok</v>
      </c>
      <c r="AG114" s="1" t="str">
        <f>Partidas!AK114</f>
        <v>ok</v>
      </c>
      <c r="AH114" s="1" t="str">
        <f t="shared" si="35"/>
        <v>Fjelstul World Cup Database + FootyStats CSV</v>
      </c>
      <c r="AI114" s="1">
        <f>Partidas!AX114</f>
        <v>0</v>
      </c>
    </row>
    <row r="115" spans="1:35" ht="15" customHeight="1">
      <c r="A115" s="1" t="str">
        <f>Partidas!C115</f>
        <v>M-2010-50</v>
      </c>
      <c r="B115" s="4">
        <f>Partidas!F115</f>
        <v>40355</v>
      </c>
      <c r="C115" s="1">
        <f>Partidas!A115</f>
        <v>2010</v>
      </c>
      <c r="D115" s="1" t="str">
        <f>Partidas!H115</f>
        <v>United States</v>
      </c>
      <c r="E115" s="1" t="str">
        <f>Partidas!I115</f>
        <v>Ghana</v>
      </c>
      <c r="F115" s="5">
        <f>Partidas!J115</f>
        <v>1</v>
      </c>
      <c r="G115" s="5">
        <f>Partidas!K115</f>
        <v>2</v>
      </c>
      <c r="H115" s="1" t="str">
        <f>Partidas!M115</f>
        <v>A</v>
      </c>
      <c r="I115" s="5">
        <f t="shared" si="18"/>
        <v>3</v>
      </c>
      <c r="J115" s="1" t="b">
        <f t="shared" si="19"/>
        <v>1</v>
      </c>
      <c r="K115" s="1" t="b">
        <f t="shared" si="20"/>
        <v>1</v>
      </c>
      <c r="L115" s="1" t="b">
        <f t="shared" si="21"/>
        <v>0</v>
      </c>
      <c r="M115" s="1" t="b">
        <f t="shared" si="22"/>
        <v>0</v>
      </c>
      <c r="N115" s="1" t="b">
        <f t="shared" si="23"/>
        <v>1</v>
      </c>
      <c r="O115" s="1" t="b">
        <f t="shared" si="24"/>
        <v>1</v>
      </c>
      <c r="P115" s="1" t="b">
        <f t="shared" si="25"/>
        <v>0</v>
      </c>
      <c r="Q115" s="1" t="b">
        <f t="shared" si="26"/>
        <v>1</v>
      </c>
      <c r="R115" s="1" t="b">
        <f t="shared" si="27"/>
        <v>1</v>
      </c>
      <c r="S115" s="5">
        <f>Partidas!T115</f>
        <v>5</v>
      </c>
      <c r="T115" s="5">
        <f>Partidas!U115</f>
        <v>4</v>
      </c>
      <c r="U115" s="5">
        <f t="shared" si="28"/>
        <v>9</v>
      </c>
      <c r="V115" s="5" t="b">
        <f t="shared" si="29"/>
        <v>1</v>
      </c>
      <c r="W115" s="5" t="b">
        <f t="shared" si="30"/>
        <v>0</v>
      </c>
      <c r="X115" s="5">
        <f>Partidas!X115</f>
        <v>3</v>
      </c>
      <c r="Y115" s="5">
        <f>Partidas!Y115</f>
        <v>2</v>
      </c>
      <c r="Z115" s="5">
        <f>Partidas!AG115</f>
        <v>0</v>
      </c>
      <c r="AA115" s="5">
        <f>Partidas!AH115</f>
        <v>0</v>
      </c>
      <c r="AB115" s="5">
        <f t="shared" si="31"/>
        <v>5</v>
      </c>
      <c r="AC115" s="1" t="b">
        <f t="shared" si="32"/>
        <v>1</v>
      </c>
      <c r="AD115" s="1" t="b">
        <f t="shared" si="33"/>
        <v>1</v>
      </c>
      <c r="AE115" s="1" t="b">
        <f t="shared" si="34"/>
        <v>0</v>
      </c>
      <c r="AF115" s="1" t="str">
        <f>Partidas!W115</f>
        <v>ok</v>
      </c>
      <c r="AG115" s="1" t="str">
        <f>Partidas!AK115</f>
        <v>ok</v>
      </c>
      <c r="AH115" s="1" t="str">
        <f t="shared" si="35"/>
        <v>Fjelstul World Cup Database + FootyStats CSV</v>
      </c>
      <c r="AI115" s="1">
        <f>Partidas!AX115</f>
        <v>0</v>
      </c>
    </row>
    <row r="116" spans="1:35" ht="15" customHeight="1">
      <c r="A116" s="1" t="str">
        <f>Partidas!C116</f>
        <v>M-2010-51</v>
      </c>
      <c r="B116" s="4">
        <f>Partidas!F116</f>
        <v>40356</v>
      </c>
      <c r="C116" s="1">
        <f>Partidas!A116</f>
        <v>2010</v>
      </c>
      <c r="D116" s="1" t="str">
        <f>Partidas!H116</f>
        <v>Germany</v>
      </c>
      <c r="E116" s="1" t="str">
        <f>Partidas!I116</f>
        <v>England</v>
      </c>
      <c r="F116" s="5">
        <f>Partidas!J116</f>
        <v>4</v>
      </c>
      <c r="G116" s="5">
        <f>Partidas!K116</f>
        <v>1</v>
      </c>
      <c r="H116" s="1" t="str">
        <f>Partidas!M116</f>
        <v>H</v>
      </c>
      <c r="I116" s="5">
        <f t="shared" si="18"/>
        <v>5</v>
      </c>
      <c r="J116" s="1" t="b">
        <f t="shared" si="19"/>
        <v>1</v>
      </c>
      <c r="K116" s="1" t="b">
        <f t="shared" si="20"/>
        <v>1</v>
      </c>
      <c r="L116" s="1" t="b">
        <f t="shared" si="21"/>
        <v>1</v>
      </c>
      <c r="M116" s="1" t="b">
        <f t="shared" si="22"/>
        <v>0</v>
      </c>
      <c r="N116" s="1" t="b">
        <f t="shared" si="23"/>
        <v>0</v>
      </c>
      <c r="O116" s="1" t="b">
        <f t="shared" si="24"/>
        <v>1</v>
      </c>
      <c r="P116" s="1" t="b">
        <f t="shared" si="25"/>
        <v>1</v>
      </c>
      <c r="Q116" s="1" t="b">
        <f t="shared" si="26"/>
        <v>1</v>
      </c>
      <c r="R116" s="1" t="b">
        <f t="shared" si="27"/>
        <v>0</v>
      </c>
      <c r="S116" s="5">
        <f>Partidas!T116</f>
        <v>4</v>
      </c>
      <c r="T116" s="5">
        <f>Partidas!U116</f>
        <v>6</v>
      </c>
      <c r="U116" s="5">
        <f t="shared" si="28"/>
        <v>10</v>
      </c>
      <c r="V116" s="5" t="b">
        <f t="shared" si="29"/>
        <v>1</v>
      </c>
      <c r="W116" s="5" t="b">
        <f t="shared" si="30"/>
        <v>1</v>
      </c>
      <c r="X116" s="5">
        <f>Partidas!X116</f>
        <v>1</v>
      </c>
      <c r="Y116" s="5">
        <f>Partidas!Y116</f>
        <v>1</v>
      </c>
      <c r="Z116" s="5">
        <f>Partidas!AG116</f>
        <v>0</v>
      </c>
      <c r="AA116" s="5">
        <f>Partidas!AH116</f>
        <v>0</v>
      </c>
      <c r="AB116" s="5">
        <f t="shared" si="31"/>
        <v>2</v>
      </c>
      <c r="AC116" s="1" t="b">
        <f t="shared" si="32"/>
        <v>0</v>
      </c>
      <c r="AD116" s="1" t="b">
        <f t="shared" si="33"/>
        <v>0</v>
      </c>
      <c r="AE116" s="1" t="b">
        <f t="shared" si="34"/>
        <v>0</v>
      </c>
      <c r="AF116" s="1" t="str">
        <f>Partidas!W116</f>
        <v>ok</v>
      </c>
      <c r="AG116" s="1" t="str">
        <f>Partidas!AK116</f>
        <v>ok</v>
      </c>
      <c r="AH116" s="1" t="str">
        <f t="shared" si="35"/>
        <v>Fjelstul World Cup Database + FootyStats CSV</v>
      </c>
      <c r="AI116" s="1">
        <f>Partidas!AX116</f>
        <v>0</v>
      </c>
    </row>
    <row r="117" spans="1:35" ht="15" customHeight="1">
      <c r="A117" s="1" t="str">
        <f>Partidas!C117</f>
        <v>M-2010-52</v>
      </c>
      <c r="B117" s="4">
        <f>Partidas!F117</f>
        <v>40356</v>
      </c>
      <c r="C117" s="1">
        <f>Partidas!A117</f>
        <v>2010</v>
      </c>
      <c r="D117" s="1" t="str">
        <f>Partidas!H117</f>
        <v>Argentina</v>
      </c>
      <c r="E117" s="1" t="str">
        <f>Partidas!I117</f>
        <v>Mexico</v>
      </c>
      <c r="F117" s="5">
        <f>Partidas!J117</f>
        <v>3</v>
      </c>
      <c r="G117" s="5">
        <f>Partidas!K117</f>
        <v>1</v>
      </c>
      <c r="H117" s="1" t="str">
        <f>Partidas!M117</f>
        <v>H</v>
      </c>
      <c r="I117" s="5">
        <f t="shared" si="18"/>
        <v>4</v>
      </c>
      <c r="J117" s="1" t="b">
        <f t="shared" si="19"/>
        <v>1</v>
      </c>
      <c r="K117" s="1" t="b">
        <f t="shared" si="20"/>
        <v>1</v>
      </c>
      <c r="L117" s="1" t="b">
        <f t="shared" si="21"/>
        <v>1</v>
      </c>
      <c r="M117" s="1" t="b">
        <f t="shared" si="22"/>
        <v>0</v>
      </c>
      <c r="N117" s="1" t="b">
        <f t="shared" si="23"/>
        <v>0</v>
      </c>
      <c r="O117" s="1" t="b">
        <f t="shared" si="24"/>
        <v>1</v>
      </c>
      <c r="P117" s="1" t="b">
        <f t="shared" si="25"/>
        <v>1</v>
      </c>
      <c r="Q117" s="1" t="b">
        <f t="shared" si="26"/>
        <v>1</v>
      </c>
      <c r="R117" s="1" t="b">
        <f t="shared" si="27"/>
        <v>0</v>
      </c>
      <c r="S117" s="5">
        <f>Partidas!T117</f>
        <v>2</v>
      </c>
      <c r="T117" s="5">
        <f>Partidas!U117</f>
        <v>5</v>
      </c>
      <c r="U117" s="5">
        <f t="shared" si="28"/>
        <v>7</v>
      </c>
      <c r="V117" s="5" t="b">
        <f t="shared" si="29"/>
        <v>0</v>
      </c>
      <c r="W117" s="5" t="b">
        <f t="shared" si="30"/>
        <v>0</v>
      </c>
      <c r="X117" s="5">
        <f>Partidas!X117</f>
        <v>0</v>
      </c>
      <c r="Y117" s="5">
        <f>Partidas!Y117</f>
        <v>1</v>
      </c>
      <c r="Z117" s="5">
        <f>Partidas!AG117</f>
        <v>0</v>
      </c>
      <c r="AA117" s="5">
        <f>Partidas!AH117</f>
        <v>0</v>
      </c>
      <c r="AB117" s="5">
        <f t="shared" si="31"/>
        <v>1</v>
      </c>
      <c r="AC117" s="1" t="b">
        <f t="shared" si="32"/>
        <v>0</v>
      </c>
      <c r="AD117" s="1" t="b">
        <f t="shared" si="33"/>
        <v>0</v>
      </c>
      <c r="AE117" s="1" t="b">
        <f t="shared" si="34"/>
        <v>0</v>
      </c>
      <c r="AF117" s="1" t="str">
        <f>Partidas!W117</f>
        <v>ok</v>
      </c>
      <c r="AG117" s="1" t="str">
        <f>Partidas!AK117</f>
        <v>ok</v>
      </c>
      <c r="AH117" s="1" t="str">
        <f t="shared" si="35"/>
        <v>Fjelstul World Cup Database + FootyStats CSV</v>
      </c>
      <c r="AI117" s="1">
        <f>Partidas!AX117</f>
        <v>0</v>
      </c>
    </row>
    <row r="118" spans="1:35" ht="15" customHeight="1">
      <c r="A118" s="1" t="str">
        <f>Partidas!C118</f>
        <v>M-2010-53</v>
      </c>
      <c r="B118" s="4">
        <f>Partidas!F118</f>
        <v>40357</v>
      </c>
      <c r="C118" s="1">
        <f>Partidas!A118</f>
        <v>2010</v>
      </c>
      <c r="D118" s="1" t="str">
        <f>Partidas!H118</f>
        <v>Netherlands</v>
      </c>
      <c r="E118" s="1" t="str">
        <f>Partidas!I118</f>
        <v>Slovakia</v>
      </c>
      <c r="F118" s="5">
        <f>Partidas!J118</f>
        <v>2</v>
      </c>
      <c r="G118" s="5">
        <f>Partidas!K118</f>
        <v>1</v>
      </c>
      <c r="H118" s="1" t="str">
        <f>Partidas!M118</f>
        <v>H</v>
      </c>
      <c r="I118" s="5">
        <f t="shared" si="18"/>
        <v>3</v>
      </c>
      <c r="J118" s="1" t="b">
        <f t="shared" si="19"/>
        <v>1</v>
      </c>
      <c r="K118" s="1" t="b">
        <f t="shared" si="20"/>
        <v>1</v>
      </c>
      <c r="L118" s="1" t="b">
        <f t="shared" si="21"/>
        <v>0</v>
      </c>
      <c r="M118" s="1" t="b">
        <f t="shared" si="22"/>
        <v>0</v>
      </c>
      <c r="N118" s="1" t="b">
        <f t="shared" si="23"/>
        <v>1</v>
      </c>
      <c r="O118" s="1" t="b">
        <f t="shared" si="24"/>
        <v>1</v>
      </c>
      <c r="P118" s="1" t="b">
        <f t="shared" si="25"/>
        <v>1</v>
      </c>
      <c r="Q118" s="1" t="b">
        <f t="shared" si="26"/>
        <v>1</v>
      </c>
      <c r="R118" s="1" t="b">
        <f t="shared" si="27"/>
        <v>0</v>
      </c>
      <c r="S118" s="5">
        <f>Partidas!T118</f>
        <v>5</v>
      </c>
      <c r="T118" s="5">
        <f>Partidas!U118</f>
        <v>2</v>
      </c>
      <c r="U118" s="5">
        <f t="shared" si="28"/>
        <v>7</v>
      </c>
      <c r="V118" s="5" t="b">
        <f t="shared" si="29"/>
        <v>0</v>
      </c>
      <c r="W118" s="5" t="b">
        <f t="shared" si="30"/>
        <v>0</v>
      </c>
      <c r="X118" s="5">
        <f>Partidas!X118</f>
        <v>2</v>
      </c>
      <c r="Y118" s="5">
        <f>Partidas!Y118</f>
        <v>3</v>
      </c>
      <c r="Z118" s="5">
        <f>Partidas!AG118</f>
        <v>0</v>
      </c>
      <c r="AA118" s="5">
        <f>Partidas!AH118</f>
        <v>0</v>
      </c>
      <c r="AB118" s="5">
        <f t="shared" si="31"/>
        <v>5</v>
      </c>
      <c r="AC118" s="1" t="b">
        <f t="shared" si="32"/>
        <v>1</v>
      </c>
      <c r="AD118" s="1" t="b">
        <f t="shared" si="33"/>
        <v>1</v>
      </c>
      <c r="AE118" s="1" t="b">
        <f t="shared" si="34"/>
        <v>0</v>
      </c>
      <c r="AF118" s="1" t="str">
        <f>Partidas!W118</f>
        <v>ok</v>
      </c>
      <c r="AG118" s="1" t="str">
        <f>Partidas!AK118</f>
        <v>ok</v>
      </c>
      <c r="AH118" s="1" t="str">
        <f t="shared" si="35"/>
        <v>Fjelstul World Cup Database + FootyStats CSV</v>
      </c>
      <c r="AI118" s="1">
        <f>Partidas!AX118</f>
        <v>0</v>
      </c>
    </row>
    <row r="119" spans="1:35" ht="15" customHeight="1">
      <c r="A119" s="1" t="str">
        <f>Partidas!C119</f>
        <v>M-2010-54</v>
      </c>
      <c r="B119" s="4">
        <f>Partidas!F119</f>
        <v>40357</v>
      </c>
      <c r="C119" s="1">
        <f>Partidas!A119</f>
        <v>2010</v>
      </c>
      <c r="D119" s="1" t="str">
        <f>Partidas!H119</f>
        <v>Brazil</v>
      </c>
      <c r="E119" s="1" t="str">
        <f>Partidas!I119</f>
        <v>Chile</v>
      </c>
      <c r="F119" s="5">
        <f>Partidas!J119</f>
        <v>3</v>
      </c>
      <c r="G119" s="5">
        <f>Partidas!K119</f>
        <v>0</v>
      </c>
      <c r="H119" s="1" t="str">
        <f>Partidas!M119</f>
        <v>H</v>
      </c>
      <c r="I119" s="5">
        <f t="shared" si="18"/>
        <v>3</v>
      </c>
      <c r="J119" s="1" t="b">
        <f t="shared" si="19"/>
        <v>1</v>
      </c>
      <c r="K119" s="1" t="b">
        <f t="shared" si="20"/>
        <v>1</v>
      </c>
      <c r="L119" s="1" t="b">
        <f t="shared" si="21"/>
        <v>0</v>
      </c>
      <c r="M119" s="1" t="b">
        <f t="shared" si="22"/>
        <v>0</v>
      </c>
      <c r="N119" s="1" t="b">
        <f t="shared" si="23"/>
        <v>1</v>
      </c>
      <c r="O119" s="1" t="b">
        <f t="shared" si="24"/>
        <v>0</v>
      </c>
      <c r="P119" s="1" t="b">
        <f t="shared" si="25"/>
        <v>1</v>
      </c>
      <c r="Q119" s="1" t="b">
        <f t="shared" si="26"/>
        <v>1</v>
      </c>
      <c r="R119" s="1" t="b">
        <f t="shared" si="27"/>
        <v>0</v>
      </c>
      <c r="S119" s="5">
        <f>Partidas!T119</f>
        <v>8</v>
      </c>
      <c r="T119" s="5">
        <f>Partidas!U119</f>
        <v>6</v>
      </c>
      <c r="U119" s="5">
        <f t="shared" si="28"/>
        <v>14</v>
      </c>
      <c r="V119" s="5" t="b">
        <f t="shared" si="29"/>
        <v>1</v>
      </c>
      <c r="W119" s="5" t="b">
        <f t="shared" si="30"/>
        <v>1</v>
      </c>
      <c r="X119" s="5">
        <f>Partidas!X119</f>
        <v>2</v>
      </c>
      <c r="Y119" s="5">
        <f>Partidas!Y119</f>
        <v>3</v>
      </c>
      <c r="Z119" s="5">
        <f>Partidas!AG119</f>
        <v>0</v>
      </c>
      <c r="AA119" s="5">
        <f>Partidas!AH119</f>
        <v>0</v>
      </c>
      <c r="AB119" s="5">
        <f t="shared" si="31"/>
        <v>5</v>
      </c>
      <c r="AC119" s="1" t="b">
        <f t="shared" si="32"/>
        <v>1</v>
      </c>
      <c r="AD119" s="1" t="b">
        <f t="shared" si="33"/>
        <v>1</v>
      </c>
      <c r="AE119" s="1" t="b">
        <f t="shared" si="34"/>
        <v>0</v>
      </c>
      <c r="AF119" s="1" t="str">
        <f>Partidas!W119</f>
        <v>ok</v>
      </c>
      <c r="AG119" s="1" t="str">
        <f>Partidas!AK119</f>
        <v>ok</v>
      </c>
      <c r="AH119" s="1" t="str">
        <f t="shared" si="35"/>
        <v>Fjelstul World Cup Database + FootyStats CSV</v>
      </c>
      <c r="AI119" s="1">
        <f>Partidas!AX119</f>
        <v>0</v>
      </c>
    </row>
    <row r="120" spans="1:35" ht="15" customHeight="1">
      <c r="A120" s="1" t="str">
        <f>Partidas!C120</f>
        <v>M-2010-55</v>
      </c>
      <c r="B120" s="4">
        <f>Partidas!F120</f>
        <v>40358</v>
      </c>
      <c r="C120" s="1">
        <f>Partidas!A120</f>
        <v>2010</v>
      </c>
      <c r="D120" s="1" t="str">
        <f>Partidas!H120</f>
        <v>Paraguay</v>
      </c>
      <c r="E120" s="1" t="str">
        <f>Partidas!I120</f>
        <v>Japan</v>
      </c>
      <c r="F120" s="5">
        <f>Partidas!J120</f>
        <v>0</v>
      </c>
      <c r="G120" s="5">
        <f>Partidas!K120</f>
        <v>0</v>
      </c>
      <c r="H120" s="1" t="str">
        <f>Partidas!M120</f>
        <v>D</v>
      </c>
      <c r="I120" s="5">
        <f t="shared" si="18"/>
        <v>0</v>
      </c>
      <c r="J120" s="1" t="b">
        <f t="shared" si="19"/>
        <v>0</v>
      </c>
      <c r="K120" s="1" t="b">
        <f t="shared" si="20"/>
        <v>0</v>
      </c>
      <c r="L120" s="1" t="b">
        <f t="shared" si="21"/>
        <v>0</v>
      </c>
      <c r="M120" s="1" t="b">
        <f t="shared" si="22"/>
        <v>1</v>
      </c>
      <c r="N120" s="1" t="b">
        <f t="shared" si="23"/>
        <v>1</v>
      </c>
      <c r="O120" s="1" t="b">
        <f t="shared" si="24"/>
        <v>0</v>
      </c>
      <c r="P120" s="1" t="b">
        <f t="shared" si="25"/>
        <v>1</v>
      </c>
      <c r="Q120" s="1" t="b">
        <f t="shared" si="26"/>
        <v>0</v>
      </c>
      <c r="R120" s="1" t="b">
        <f t="shared" si="27"/>
        <v>1</v>
      </c>
      <c r="S120" s="5">
        <f>Partidas!T120</f>
        <v>6</v>
      </c>
      <c r="T120" s="5">
        <f>Partidas!U120</f>
        <v>5</v>
      </c>
      <c r="U120" s="5">
        <f t="shared" si="28"/>
        <v>11</v>
      </c>
      <c r="V120" s="5" t="b">
        <f t="shared" si="29"/>
        <v>1</v>
      </c>
      <c r="W120" s="5" t="b">
        <f t="shared" si="30"/>
        <v>1</v>
      </c>
      <c r="X120" s="5">
        <f>Partidas!X120</f>
        <v>1</v>
      </c>
      <c r="Y120" s="5">
        <f>Partidas!Y120</f>
        <v>4</v>
      </c>
      <c r="Z120" s="5">
        <f>Partidas!AG120</f>
        <v>0</v>
      </c>
      <c r="AA120" s="5">
        <f>Partidas!AH120</f>
        <v>0</v>
      </c>
      <c r="AB120" s="5">
        <f t="shared" si="31"/>
        <v>5</v>
      </c>
      <c r="AC120" s="1" t="b">
        <f t="shared" si="32"/>
        <v>1</v>
      </c>
      <c r="AD120" s="1" t="b">
        <f t="shared" si="33"/>
        <v>1</v>
      </c>
      <c r="AE120" s="1" t="b">
        <f t="shared" si="34"/>
        <v>0</v>
      </c>
      <c r="AF120" s="1" t="str">
        <f>Partidas!W120</f>
        <v>ok</v>
      </c>
      <c r="AG120" s="1" t="str">
        <f>Partidas!AK120</f>
        <v>ok</v>
      </c>
      <c r="AH120" s="1" t="str">
        <f t="shared" si="35"/>
        <v>Fjelstul World Cup Database + FootyStats CSV</v>
      </c>
      <c r="AI120" s="1">
        <f>Partidas!AX120</f>
        <v>0</v>
      </c>
    </row>
    <row r="121" spans="1:35" ht="15" customHeight="1">
      <c r="A121" s="1" t="str">
        <f>Partidas!C121</f>
        <v>M-2010-56</v>
      </c>
      <c r="B121" s="4">
        <f>Partidas!F121</f>
        <v>40358</v>
      </c>
      <c r="C121" s="1">
        <f>Partidas!A121</f>
        <v>2010</v>
      </c>
      <c r="D121" s="1" t="str">
        <f>Partidas!H121</f>
        <v>Spain</v>
      </c>
      <c r="E121" s="1" t="str">
        <f>Partidas!I121</f>
        <v>Portugal</v>
      </c>
      <c r="F121" s="5">
        <f>Partidas!J121</f>
        <v>1</v>
      </c>
      <c r="G121" s="5">
        <f>Partidas!K121</f>
        <v>0</v>
      </c>
      <c r="H121" s="1" t="str">
        <f>Partidas!M121</f>
        <v>H</v>
      </c>
      <c r="I121" s="5">
        <f t="shared" si="18"/>
        <v>1</v>
      </c>
      <c r="J121" s="1" t="b">
        <f t="shared" si="19"/>
        <v>0</v>
      </c>
      <c r="K121" s="1" t="b">
        <f t="shared" si="20"/>
        <v>0</v>
      </c>
      <c r="L121" s="1" t="b">
        <f t="shared" si="21"/>
        <v>0</v>
      </c>
      <c r="M121" s="1" t="b">
        <f t="shared" si="22"/>
        <v>1</v>
      </c>
      <c r="N121" s="1" t="b">
        <f t="shared" si="23"/>
        <v>1</v>
      </c>
      <c r="O121" s="1" t="b">
        <f t="shared" si="24"/>
        <v>0</v>
      </c>
      <c r="P121" s="1" t="b">
        <f t="shared" si="25"/>
        <v>1</v>
      </c>
      <c r="Q121" s="1" t="b">
        <f t="shared" si="26"/>
        <v>1</v>
      </c>
      <c r="R121" s="1" t="b">
        <f t="shared" si="27"/>
        <v>0</v>
      </c>
      <c r="S121" s="5">
        <f>Partidas!T121</f>
        <v>6</v>
      </c>
      <c r="T121" s="5">
        <f>Partidas!U121</f>
        <v>3</v>
      </c>
      <c r="U121" s="5">
        <f t="shared" si="28"/>
        <v>9</v>
      </c>
      <c r="V121" s="5" t="b">
        <f t="shared" si="29"/>
        <v>1</v>
      </c>
      <c r="W121" s="5" t="b">
        <f t="shared" si="30"/>
        <v>0</v>
      </c>
      <c r="X121" s="5">
        <f>Partidas!X121</f>
        <v>1</v>
      </c>
      <c r="Y121" s="5">
        <f>Partidas!Y121</f>
        <v>1</v>
      </c>
      <c r="Z121" s="5">
        <f>Partidas!AG121</f>
        <v>0</v>
      </c>
      <c r="AA121" s="5">
        <f>Partidas!AH121</f>
        <v>1</v>
      </c>
      <c r="AB121" s="5">
        <f t="shared" si="31"/>
        <v>3</v>
      </c>
      <c r="AC121" s="1" t="b">
        <f t="shared" si="32"/>
        <v>0</v>
      </c>
      <c r="AD121" s="1" t="b">
        <f t="shared" si="33"/>
        <v>0</v>
      </c>
      <c r="AE121" s="1" t="b">
        <f t="shared" si="34"/>
        <v>0</v>
      </c>
      <c r="AF121" s="1" t="str">
        <f>Partidas!W121</f>
        <v>ok</v>
      </c>
      <c r="AG121" s="1" t="str">
        <f>Partidas!AK121</f>
        <v>ok</v>
      </c>
      <c r="AH121" s="1" t="str">
        <f t="shared" si="35"/>
        <v>Fjelstul World Cup Database + FootyStats CSV</v>
      </c>
      <c r="AI121" s="1">
        <f>Partidas!AX121</f>
        <v>0</v>
      </c>
    </row>
    <row r="122" spans="1:35" ht="15" customHeight="1">
      <c r="A122" s="1" t="str">
        <f>Partidas!C122</f>
        <v>M-2010-57</v>
      </c>
      <c r="B122" s="4">
        <f>Partidas!F122</f>
        <v>40361</v>
      </c>
      <c r="C122" s="1">
        <f>Partidas!A122</f>
        <v>2010</v>
      </c>
      <c r="D122" s="1" t="str">
        <f>Partidas!H122</f>
        <v>Netherlands</v>
      </c>
      <c r="E122" s="1" t="str">
        <f>Partidas!I122</f>
        <v>Brazil</v>
      </c>
      <c r="F122" s="5">
        <f>Partidas!J122</f>
        <v>2</v>
      </c>
      <c r="G122" s="5">
        <f>Partidas!K122</f>
        <v>1</v>
      </c>
      <c r="H122" s="1" t="str">
        <f>Partidas!M122</f>
        <v>H</v>
      </c>
      <c r="I122" s="5">
        <f t="shared" si="18"/>
        <v>3</v>
      </c>
      <c r="J122" s="1" t="b">
        <f t="shared" si="19"/>
        <v>1</v>
      </c>
      <c r="K122" s="1" t="b">
        <f t="shared" si="20"/>
        <v>1</v>
      </c>
      <c r="L122" s="1" t="b">
        <f t="shared" si="21"/>
        <v>0</v>
      </c>
      <c r="M122" s="1" t="b">
        <f t="shared" si="22"/>
        <v>0</v>
      </c>
      <c r="N122" s="1" t="b">
        <f t="shared" si="23"/>
        <v>1</v>
      </c>
      <c r="O122" s="1" t="b">
        <f t="shared" si="24"/>
        <v>1</v>
      </c>
      <c r="P122" s="1" t="b">
        <f t="shared" si="25"/>
        <v>1</v>
      </c>
      <c r="Q122" s="1" t="b">
        <f t="shared" si="26"/>
        <v>1</v>
      </c>
      <c r="R122" s="1" t="b">
        <f t="shared" si="27"/>
        <v>0</v>
      </c>
      <c r="S122" s="5">
        <f>Partidas!T122</f>
        <v>4</v>
      </c>
      <c r="T122" s="5">
        <f>Partidas!U122</f>
        <v>8</v>
      </c>
      <c r="U122" s="5">
        <f t="shared" si="28"/>
        <v>12</v>
      </c>
      <c r="V122" s="5" t="b">
        <f t="shared" si="29"/>
        <v>1</v>
      </c>
      <c r="W122" s="5" t="b">
        <f t="shared" si="30"/>
        <v>1</v>
      </c>
      <c r="X122" s="5">
        <f>Partidas!X122</f>
        <v>4</v>
      </c>
      <c r="Y122" s="5">
        <f>Partidas!Y122</f>
        <v>1</v>
      </c>
      <c r="Z122" s="5">
        <f>Partidas!AG122</f>
        <v>0</v>
      </c>
      <c r="AA122" s="5">
        <f>Partidas!AH122</f>
        <v>1</v>
      </c>
      <c r="AB122" s="5">
        <f t="shared" si="31"/>
        <v>6</v>
      </c>
      <c r="AC122" s="1" t="b">
        <f t="shared" si="32"/>
        <v>1</v>
      </c>
      <c r="AD122" s="1" t="b">
        <f t="shared" si="33"/>
        <v>1</v>
      </c>
      <c r="AE122" s="1" t="b">
        <f t="shared" si="34"/>
        <v>1</v>
      </c>
      <c r="AF122" s="1" t="str">
        <f>Partidas!W122</f>
        <v>ok</v>
      </c>
      <c r="AG122" s="1" t="str">
        <f>Partidas!AK122</f>
        <v>ok</v>
      </c>
      <c r="AH122" s="1" t="str">
        <f t="shared" si="35"/>
        <v>Fjelstul World Cup Database + FootyStats CSV</v>
      </c>
      <c r="AI122" s="1">
        <f>Partidas!AX122</f>
        <v>0</v>
      </c>
    </row>
    <row r="123" spans="1:35" ht="15" customHeight="1">
      <c r="A123" s="1" t="str">
        <f>Partidas!C123</f>
        <v>M-2010-58</v>
      </c>
      <c r="B123" s="4">
        <f>Partidas!F123</f>
        <v>40361</v>
      </c>
      <c r="C123" s="1">
        <f>Partidas!A123</f>
        <v>2010</v>
      </c>
      <c r="D123" s="1" t="str">
        <f>Partidas!H123</f>
        <v>Uruguay</v>
      </c>
      <c r="E123" s="1" t="str">
        <f>Partidas!I123</f>
        <v>Ghana</v>
      </c>
      <c r="F123" s="5">
        <f>Partidas!J123</f>
        <v>1</v>
      </c>
      <c r="G123" s="5">
        <f>Partidas!K123</f>
        <v>1</v>
      </c>
      <c r="H123" s="1" t="str">
        <f>Partidas!M123</f>
        <v>D</v>
      </c>
      <c r="I123" s="5">
        <f t="shared" si="18"/>
        <v>2</v>
      </c>
      <c r="J123" s="1" t="b">
        <f t="shared" si="19"/>
        <v>1</v>
      </c>
      <c r="K123" s="1" t="b">
        <f t="shared" si="20"/>
        <v>0</v>
      </c>
      <c r="L123" s="1" t="b">
        <f t="shared" si="21"/>
        <v>0</v>
      </c>
      <c r="M123" s="1" t="b">
        <f t="shared" si="22"/>
        <v>1</v>
      </c>
      <c r="N123" s="1" t="b">
        <f t="shared" si="23"/>
        <v>1</v>
      </c>
      <c r="O123" s="1" t="b">
        <f t="shared" si="24"/>
        <v>1</v>
      </c>
      <c r="P123" s="1" t="b">
        <f t="shared" si="25"/>
        <v>1</v>
      </c>
      <c r="Q123" s="1" t="b">
        <f t="shared" si="26"/>
        <v>0</v>
      </c>
      <c r="R123" s="1" t="b">
        <f t="shared" si="27"/>
        <v>1</v>
      </c>
      <c r="S123" s="5">
        <f>Partidas!T123</f>
        <v>12</v>
      </c>
      <c r="T123" s="5">
        <f>Partidas!U123</f>
        <v>8</v>
      </c>
      <c r="U123" s="5">
        <f t="shared" si="28"/>
        <v>20</v>
      </c>
      <c r="V123" s="5" t="b">
        <f t="shared" si="29"/>
        <v>1</v>
      </c>
      <c r="W123" s="5" t="b">
        <f t="shared" si="30"/>
        <v>1</v>
      </c>
      <c r="X123" s="5">
        <f>Partidas!X123</f>
        <v>3</v>
      </c>
      <c r="Y123" s="5">
        <f>Partidas!Y123</f>
        <v>3</v>
      </c>
      <c r="Z123" s="5">
        <f>Partidas!AG123</f>
        <v>1</v>
      </c>
      <c r="AA123" s="5">
        <f>Partidas!AH123</f>
        <v>0</v>
      </c>
      <c r="AB123" s="5">
        <f t="shared" si="31"/>
        <v>7</v>
      </c>
      <c r="AC123" s="1" t="b">
        <f t="shared" si="32"/>
        <v>1</v>
      </c>
      <c r="AD123" s="1" t="b">
        <f t="shared" si="33"/>
        <v>1</v>
      </c>
      <c r="AE123" s="1" t="b">
        <f t="shared" si="34"/>
        <v>1</v>
      </c>
      <c r="AF123" s="1" t="str">
        <f>Partidas!W123</f>
        <v>ok</v>
      </c>
      <c r="AG123" s="1" t="str">
        <f>Partidas!AK123</f>
        <v>ok</v>
      </c>
      <c r="AH123" s="1" t="str">
        <f t="shared" si="35"/>
        <v>Fjelstul World Cup Database + FootyStats CSV</v>
      </c>
      <c r="AI123" s="1">
        <f>Partidas!AX123</f>
        <v>0</v>
      </c>
    </row>
    <row r="124" spans="1:35" ht="15" customHeight="1">
      <c r="A124" s="1" t="str">
        <f>Partidas!C124</f>
        <v>M-2010-59</v>
      </c>
      <c r="B124" s="4">
        <f>Partidas!F124</f>
        <v>40362</v>
      </c>
      <c r="C124" s="1">
        <f>Partidas!A124</f>
        <v>2010</v>
      </c>
      <c r="D124" s="1" t="str">
        <f>Partidas!H124</f>
        <v>Argentina</v>
      </c>
      <c r="E124" s="1" t="str">
        <f>Partidas!I124</f>
        <v>Germany</v>
      </c>
      <c r="F124" s="5">
        <f>Partidas!J124</f>
        <v>0</v>
      </c>
      <c r="G124" s="5">
        <f>Partidas!K124</f>
        <v>4</v>
      </c>
      <c r="H124" s="1" t="str">
        <f>Partidas!M124</f>
        <v>A</v>
      </c>
      <c r="I124" s="5">
        <f t="shared" si="18"/>
        <v>4</v>
      </c>
      <c r="J124" s="1" t="b">
        <f t="shared" si="19"/>
        <v>1</v>
      </c>
      <c r="K124" s="1" t="b">
        <f t="shared" si="20"/>
        <v>1</v>
      </c>
      <c r="L124" s="1" t="b">
        <f t="shared" si="21"/>
        <v>1</v>
      </c>
      <c r="M124" s="1" t="b">
        <f t="shared" si="22"/>
        <v>0</v>
      </c>
      <c r="N124" s="1" t="b">
        <f t="shared" si="23"/>
        <v>0</v>
      </c>
      <c r="O124" s="1" t="b">
        <f t="shared" si="24"/>
        <v>0</v>
      </c>
      <c r="P124" s="1" t="b">
        <f t="shared" si="25"/>
        <v>0</v>
      </c>
      <c r="Q124" s="1" t="b">
        <f t="shared" si="26"/>
        <v>1</v>
      </c>
      <c r="R124" s="1" t="b">
        <f t="shared" si="27"/>
        <v>1</v>
      </c>
      <c r="S124" s="5">
        <f>Partidas!T124</f>
        <v>5</v>
      </c>
      <c r="T124" s="5">
        <f>Partidas!U124</f>
        <v>4</v>
      </c>
      <c r="U124" s="5">
        <f t="shared" si="28"/>
        <v>9</v>
      </c>
      <c r="V124" s="5" t="b">
        <f t="shared" si="29"/>
        <v>1</v>
      </c>
      <c r="W124" s="5" t="b">
        <f t="shared" si="30"/>
        <v>0</v>
      </c>
      <c r="X124" s="5">
        <f>Partidas!X124</f>
        <v>2</v>
      </c>
      <c r="Y124" s="5">
        <f>Partidas!Y124</f>
        <v>1</v>
      </c>
      <c r="Z124" s="5">
        <f>Partidas!AG124</f>
        <v>0</v>
      </c>
      <c r="AA124" s="5">
        <f>Partidas!AH124</f>
        <v>0</v>
      </c>
      <c r="AB124" s="5">
        <f t="shared" si="31"/>
        <v>3</v>
      </c>
      <c r="AC124" s="1" t="b">
        <f t="shared" si="32"/>
        <v>0</v>
      </c>
      <c r="AD124" s="1" t="b">
        <f t="shared" si="33"/>
        <v>0</v>
      </c>
      <c r="AE124" s="1" t="b">
        <f t="shared" si="34"/>
        <v>0</v>
      </c>
      <c r="AF124" s="1" t="str">
        <f>Partidas!W124</f>
        <v>ok</v>
      </c>
      <c r="AG124" s="1" t="str">
        <f>Partidas!AK124</f>
        <v>ok</v>
      </c>
      <c r="AH124" s="1" t="str">
        <f t="shared" si="35"/>
        <v>Fjelstul World Cup Database + FootyStats CSV</v>
      </c>
      <c r="AI124" s="1">
        <f>Partidas!AX124</f>
        <v>0</v>
      </c>
    </row>
    <row r="125" spans="1:35" ht="15" customHeight="1">
      <c r="A125" s="1" t="str">
        <f>Partidas!C125</f>
        <v>M-2010-60</v>
      </c>
      <c r="B125" s="4">
        <f>Partidas!F125</f>
        <v>40362</v>
      </c>
      <c r="C125" s="1">
        <f>Partidas!A125</f>
        <v>2010</v>
      </c>
      <c r="D125" s="1" t="str">
        <f>Partidas!H125</f>
        <v>Paraguay</v>
      </c>
      <c r="E125" s="1" t="str">
        <f>Partidas!I125</f>
        <v>Spain</v>
      </c>
      <c r="F125" s="5">
        <f>Partidas!J125</f>
        <v>0</v>
      </c>
      <c r="G125" s="5">
        <f>Partidas!K125</f>
        <v>1</v>
      </c>
      <c r="H125" s="1" t="str">
        <f>Partidas!M125</f>
        <v>A</v>
      </c>
      <c r="I125" s="5">
        <f t="shared" si="18"/>
        <v>1</v>
      </c>
      <c r="J125" s="1" t="b">
        <f t="shared" si="19"/>
        <v>0</v>
      </c>
      <c r="K125" s="1" t="b">
        <f t="shared" si="20"/>
        <v>0</v>
      </c>
      <c r="L125" s="1" t="b">
        <f t="shared" si="21"/>
        <v>0</v>
      </c>
      <c r="M125" s="1" t="b">
        <f t="shared" si="22"/>
        <v>1</v>
      </c>
      <c r="N125" s="1" t="b">
        <f t="shared" si="23"/>
        <v>1</v>
      </c>
      <c r="O125" s="1" t="b">
        <f t="shared" si="24"/>
        <v>0</v>
      </c>
      <c r="P125" s="1" t="b">
        <f t="shared" si="25"/>
        <v>0</v>
      </c>
      <c r="Q125" s="1" t="b">
        <f t="shared" si="26"/>
        <v>1</v>
      </c>
      <c r="R125" s="1" t="b">
        <f t="shared" si="27"/>
        <v>1</v>
      </c>
      <c r="S125" s="5">
        <f>Partidas!T125</f>
        <v>1</v>
      </c>
      <c r="T125" s="5">
        <f>Partidas!U125</f>
        <v>7</v>
      </c>
      <c r="U125" s="5">
        <f t="shared" si="28"/>
        <v>8</v>
      </c>
      <c r="V125" s="5" t="b">
        <f t="shared" si="29"/>
        <v>0</v>
      </c>
      <c r="W125" s="5" t="b">
        <f t="shared" si="30"/>
        <v>0</v>
      </c>
      <c r="X125" s="5">
        <f>Partidas!X125</f>
        <v>4</v>
      </c>
      <c r="Y125" s="5">
        <f>Partidas!Y125</f>
        <v>2</v>
      </c>
      <c r="Z125" s="5">
        <f>Partidas!AG125</f>
        <v>0</v>
      </c>
      <c r="AA125" s="5">
        <f>Partidas!AH125</f>
        <v>0</v>
      </c>
      <c r="AB125" s="5">
        <f t="shared" si="31"/>
        <v>6</v>
      </c>
      <c r="AC125" s="1" t="b">
        <f t="shared" si="32"/>
        <v>1</v>
      </c>
      <c r="AD125" s="1" t="b">
        <f t="shared" si="33"/>
        <v>1</v>
      </c>
      <c r="AE125" s="1" t="b">
        <f t="shared" si="34"/>
        <v>1</v>
      </c>
      <c r="AF125" s="1" t="str">
        <f>Partidas!W125</f>
        <v>ok</v>
      </c>
      <c r="AG125" s="1" t="str">
        <f>Partidas!AK125</f>
        <v>ok</v>
      </c>
      <c r="AH125" s="1" t="str">
        <f t="shared" si="35"/>
        <v>Fjelstul World Cup Database + FootyStats CSV</v>
      </c>
      <c r="AI125" s="1">
        <f>Partidas!AX125</f>
        <v>0</v>
      </c>
    </row>
    <row r="126" spans="1:35" ht="15" customHeight="1">
      <c r="A126" s="1" t="str">
        <f>Partidas!C126</f>
        <v>M-2010-61</v>
      </c>
      <c r="B126" s="4">
        <f>Partidas!F126</f>
        <v>40365</v>
      </c>
      <c r="C126" s="1">
        <f>Partidas!A126</f>
        <v>2010</v>
      </c>
      <c r="D126" s="1" t="str">
        <f>Partidas!H126</f>
        <v>Uruguay</v>
      </c>
      <c r="E126" s="1" t="str">
        <f>Partidas!I126</f>
        <v>Netherlands</v>
      </c>
      <c r="F126" s="5">
        <f>Partidas!J126</f>
        <v>2</v>
      </c>
      <c r="G126" s="5">
        <f>Partidas!K126</f>
        <v>3</v>
      </c>
      <c r="H126" s="1" t="str">
        <f>Partidas!M126</f>
        <v>A</v>
      </c>
      <c r="I126" s="5">
        <f t="shared" si="18"/>
        <v>5</v>
      </c>
      <c r="J126" s="1" t="b">
        <f t="shared" si="19"/>
        <v>1</v>
      </c>
      <c r="K126" s="1" t="b">
        <f t="shared" si="20"/>
        <v>1</v>
      </c>
      <c r="L126" s="1" t="b">
        <f t="shared" si="21"/>
        <v>1</v>
      </c>
      <c r="M126" s="1" t="b">
        <f t="shared" si="22"/>
        <v>0</v>
      </c>
      <c r="N126" s="1" t="b">
        <f t="shared" si="23"/>
        <v>0</v>
      </c>
      <c r="O126" s="1" t="b">
        <f t="shared" si="24"/>
        <v>1</v>
      </c>
      <c r="P126" s="1" t="b">
        <f t="shared" si="25"/>
        <v>0</v>
      </c>
      <c r="Q126" s="1" t="b">
        <f t="shared" si="26"/>
        <v>1</v>
      </c>
      <c r="R126" s="1" t="b">
        <f t="shared" si="27"/>
        <v>1</v>
      </c>
      <c r="S126" s="5">
        <f>Partidas!T126</f>
        <v>4</v>
      </c>
      <c r="T126" s="5">
        <f>Partidas!U126</f>
        <v>5</v>
      </c>
      <c r="U126" s="5">
        <f t="shared" si="28"/>
        <v>9</v>
      </c>
      <c r="V126" s="5" t="b">
        <f t="shared" si="29"/>
        <v>1</v>
      </c>
      <c r="W126" s="5" t="b">
        <f t="shared" si="30"/>
        <v>0</v>
      </c>
      <c r="X126" s="5">
        <f>Partidas!X126</f>
        <v>2</v>
      </c>
      <c r="Y126" s="5">
        <f>Partidas!Y126</f>
        <v>3</v>
      </c>
      <c r="Z126" s="5">
        <f>Partidas!AG126</f>
        <v>0</v>
      </c>
      <c r="AA126" s="5">
        <f>Partidas!AH126</f>
        <v>0</v>
      </c>
      <c r="AB126" s="5">
        <f t="shared" si="31"/>
        <v>5</v>
      </c>
      <c r="AC126" s="1" t="b">
        <f t="shared" si="32"/>
        <v>1</v>
      </c>
      <c r="AD126" s="1" t="b">
        <f t="shared" si="33"/>
        <v>1</v>
      </c>
      <c r="AE126" s="1" t="b">
        <f t="shared" si="34"/>
        <v>0</v>
      </c>
      <c r="AF126" s="1" t="str">
        <f>Partidas!W126</f>
        <v>ok</v>
      </c>
      <c r="AG126" s="1" t="str">
        <f>Partidas!AK126</f>
        <v>ok</v>
      </c>
      <c r="AH126" s="1" t="str">
        <f t="shared" si="35"/>
        <v>Fjelstul World Cup Database + FootyStats CSV</v>
      </c>
      <c r="AI126" s="1">
        <f>Partidas!AX126</f>
        <v>0</v>
      </c>
    </row>
    <row r="127" spans="1:35" ht="15" customHeight="1">
      <c r="A127" s="1" t="str">
        <f>Partidas!C127</f>
        <v>M-2010-62</v>
      </c>
      <c r="B127" s="4">
        <f>Partidas!F127</f>
        <v>40366</v>
      </c>
      <c r="C127" s="1">
        <f>Partidas!A127</f>
        <v>2010</v>
      </c>
      <c r="D127" s="1" t="str">
        <f>Partidas!H127</f>
        <v>Germany</v>
      </c>
      <c r="E127" s="1" t="str">
        <f>Partidas!I127</f>
        <v>Spain</v>
      </c>
      <c r="F127" s="5">
        <f>Partidas!J127</f>
        <v>0</v>
      </c>
      <c r="G127" s="5">
        <f>Partidas!K127</f>
        <v>1</v>
      </c>
      <c r="H127" s="1" t="str">
        <f>Partidas!M127</f>
        <v>A</v>
      </c>
      <c r="I127" s="5">
        <f t="shared" si="18"/>
        <v>1</v>
      </c>
      <c r="J127" s="1" t="b">
        <f t="shared" si="19"/>
        <v>0</v>
      </c>
      <c r="K127" s="1" t="b">
        <f t="shared" si="20"/>
        <v>0</v>
      </c>
      <c r="L127" s="1" t="b">
        <f t="shared" si="21"/>
        <v>0</v>
      </c>
      <c r="M127" s="1" t="b">
        <f t="shared" si="22"/>
        <v>1</v>
      </c>
      <c r="N127" s="1" t="b">
        <f t="shared" si="23"/>
        <v>1</v>
      </c>
      <c r="O127" s="1" t="b">
        <f t="shared" si="24"/>
        <v>0</v>
      </c>
      <c r="P127" s="1" t="b">
        <f t="shared" si="25"/>
        <v>0</v>
      </c>
      <c r="Q127" s="1" t="b">
        <f t="shared" si="26"/>
        <v>1</v>
      </c>
      <c r="R127" s="1" t="b">
        <f t="shared" si="27"/>
        <v>1</v>
      </c>
      <c r="S127" s="5">
        <f>Partidas!T127</f>
        <v>6</v>
      </c>
      <c r="T127" s="5">
        <f>Partidas!U127</f>
        <v>7</v>
      </c>
      <c r="U127" s="5">
        <f t="shared" si="28"/>
        <v>13</v>
      </c>
      <c r="V127" s="5" t="b">
        <f t="shared" si="29"/>
        <v>1</v>
      </c>
      <c r="W127" s="5" t="b">
        <f t="shared" si="30"/>
        <v>1</v>
      </c>
      <c r="X127" s="5">
        <f>Partidas!X127</f>
        <v>0</v>
      </c>
      <c r="Y127" s="5">
        <f>Partidas!Y127</f>
        <v>0</v>
      </c>
      <c r="Z127" s="5">
        <f>Partidas!AG127</f>
        <v>0</v>
      </c>
      <c r="AA127" s="5">
        <f>Partidas!AH127</f>
        <v>0</v>
      </c>
      <c r="AB127" s="5">
        <f t="shared" si="31"/>
        <v>0</v>
      </c>
      <c r="AC127" s="1" t="b">
        <f t="shared" si="32"/>
        <v>0</v>
      </c>
      <c r="AD127" s="1" t="b">
        <f t="shared" si="33"/>
        <v>0</v>
      </c>
      <c r="AE127" s="1" t="b">
        <f t="shared" si="34"/>
        <v>0</v>
      </c>
      <c r="AF127" s="1" t="str">
        <f>Partidas!W127</f>
        <v>ok</v>
      </c>
      <c r="AG127" s="1" t="str">
        <f>Partidas!AK127</f>
        <v>ok</v>
      </c>
      <c r="AH127" s="1" t="str">
        <f t="shared" si="35"/>
        <v>Fjelstul World Cup Database + FootyStats CSV</v>
      </c>
      <c r="AI127" s="1">
        <f>Partidas!AX127</f>
        <v>0</v>
      </c>
    </row>
    <row r="128" spans="1:35" ht="15" customHeight="1">
      <c r="A128" s="1" t="str">
        <f>Partidas!C128</f>
        <v>M-2010-63</v>
      </c>
      <c r="B128" s="4">
        <f>Partidas!F128</f>
        <v>40369</v>
      </c>
      <c r="C128" s="1">
        <f>Partidas!A128</f>
        <v>2010</v>
      </c>
      <c r="D128" s="1" t="str">
        <f>Partidas!H128</f>
        <v>Uruguay</v>
      </c>
      <c r="E128" s="1" t="str">
        <f>Partidas!I128</f>
        <v>Germany</v>
      </c>
      <c r="F128" s="5">
        <f>Partidas!J128</f>
        <v>2</v>
      </c>
      <c r="G128" s="5">
        <f>Partidas!K128</f>
        <v>3</v>
      </c>
      <c r="H128" s="1" t="str">
        <f>Partidas!M128</f>
        <v>A</v>
      </c>
      <c r="I128" s="5">
        <f t="shared" si="18"/>
        <v>5</v>
      </c>
      <c r="J128" s="1" t="b">
        <f t="shared" si="19"/>
        <v>1</v>
      </c>
      <c r="K128" s="1" t="b">
        <f t="shared" si="20"/>
        <v>1</v>
      </c>
      <c r="L128" s="1" t="b">
        <f t="shared" si="21"/>
        <v>1</v>
      </c>
      <c r="M128" s="1" t="b">
        <f t="shared" si="22"/>
        <v>0</v>
      </c>
      <c r="N128" s="1" t="b">
        <f t="shared" si="23"/>
        <v>0</v>
      </c>
      <c r="O128" s="1" t="b">
        <f t="shared" si="24"/>
        <v>1</v>
      </c>
      <c r="P128" s="1" t="b">
        <f t="shared" si="25"/>
        <v>0</v>
      </c>
      <c r="Q128" s="1" t="b">
        <f t="shared" si="26"/>
        <v>1</v>
      </c>
      <c r="R128" s="1" t="b">
        <f t="shared" si="27"/>
        <v>1</v>
      </c>
      <c r="S128" s="5">
        <f>Partidas!T128</f>
        <v>6</v>
      </c>
      <c r="T128" s="5">
        <f>Partidas!U128</f>
        <v>12</v>
      </c>
      <c r="U128" s="5">
        <f t="shared" si="28"/>
        <v>18</v>
      </c>
      <c r="V128" s="5" t="b">
        <f t="shared" si="29"/>
        <v>1</v>
      </c>
      <c r="W128" s="5" t="b">
        <f t="shared" si="30"/>
        <v>1</v>
      </c>
      <c r="X128" s="5">
        <f>Partidas!X128</f>
        <v>1</v>
      </c>
      <c r="Y128" s="5">
        <f>Partidas!Y128</f>
        <v>3</v>
      </c>
      <c r="Z128" s="5">
        <f>Partidas!AG128</f>
        <v>0</v>
      </c>
      <c r="AA128" s="5">
        <f>Partidas!AH128</f>
        <v>0</v>
      </c>
      <c r="AB128" s="5">
        <f t="shared" si="31"/>
        <v>4</v>
      </c>
      <c r="AC128" s="1" t="b">
        <f t="shared" si="32"/>
        <v>1</v>
      </c>
      <c r="AD128" s="1" t="b">
        <f t="shared" si="33"/>
        <v>0</v>
      </c>
      <c r="AE128" s="1" t="b">
        <f t="shared" si="34"/>
        <v>0</v>
      </c>
      <c r="AF128" s="1" t="str">
        <f>Partidas!W128</f>
        <v>ok</v>
      </c>
      <c r="AG128" s="1" t="str">
        <f>Partidas!AK128</f>
        <v>ok</v>
      </c>
      <c r="AH128" s="1" t="str">
        <f t="shared" si="35"/>
        <v>Fjelstul World Cup Database + FootyStats CSV</v>
      </c>
      <c r="AI128" s="1">
        <f>Partidas!AX128</f>
        <v>0</v>
      </c>
    </row>
    <row r="129" spans="1:35" ht="15" customHeight="1">
      <c r="A129" s="1" t="str">
        <f>Partidas!C129</f>
        <v>M-2010-64</v>
      </c>
      <c r="B129" s="4">
        <f>Partidas!F129</f>
        <v>40370</v>
      </c>
      <c r="C129" s="1">
        <f>Partidas!A129</f>
        <v>2010</v>
      </c>
      <c r="D129" s="1" t="str">
        <f>Partidas!H129</f>
        <v>Netherlands</v>
      </c>
      <c r="E129" s="1" t="str">
        <f>Partidas!I129</f>
        <v>Spain</v>
      </c>
      <c r="F129" s="5">
        <f>Partidas!J129</f>
        <v>0</v>
      </c>
      <c r="G129" s="5">
        <f>Partidas!K129</f>
        <v>1</v>
      </c>
      <c r="H129" s="1" t="str">
        <f>Partidas!M129</f>
        <v>A</v>
      </c>
      <c r="I129" s="5">
        <f t="shared" si="18"/>
        <v>1</v>
      </c>
      <c r="J129" s="1" t="b">
        <f t="shared" si="19"/>
        <v>0</v>
      </c>
      <c r="K129" s="1" t="b">
        <f t="shared" si="20"/>
        <v>0</v>
      </c>
      <c r="L129" s="1" t="b">
        <f t="shared" si="21"/>
        <v>0</v>
      </c>
      <c r="M129" s="1" t="b">
        <f t="shared" si="22"/>
        <v>1</v>
      </c>
      <c r="N129" s="1" t="b">
        <f t="shared" si="23"/>
        <v>1</v>
      </c>
      <c r="O129" s="1" t="b">
        <f t="shared" si="24"/>
        <v>0</v>
      </c>
      <c r="P129" s="1" t="b">
        <f t="shared" si="25"/>
        <v>0</v>
      </c>
      <c r="Q129" s="1" t="b">
        <f t="shared" si="26"/>
        <v>1</v>
      </c>
      <c r="R129" s="1" t="b">
        <f t="shared" si="27"/>
        <v>1</v>
      </c>
      <c r="S129" s="5">
        <f>Partidas!T129</f>
        <v>6</v>
      </c>
      <c r="T129" s="5">
        <f>Partidas!U129</f>
        <v>8</v>
      </c>
      <c r="U129" s="5">
        <f t="shared" si="28"/>
        <v>14</v>
      </c>
      <c r="V129" s="5" t="b">
        <f t="shared" si="29"/>
        <v>1</v>
      </c>
      <c r="W129" s="5" t="b">
        <f t="shared" si="30"/>
        <v>1</v>
      </c>
      <c r="X129" s="5">
        <f>Partidas!X129</f>
        <v>8</v>
      </c>
      <c r="Y129" s="5">
        <f>Partidas!Y129</f>
        <v>5</v>
      </c>
      <c r="Z129" s="5">
        <f>Partidas!AG129</f>
        <v>1</v>
      </c>
      <c r="AA129" s="5">
        <f>Partidas!AH129</f>
        <v>0</v>
      </c>
      <c r="AB129" s="5">
        <f t="shared" si="31"/>
        <v>14</v>
      </c>
      <c r="AC129" s="1" t="b">
        <f t="shared" si="32"/>
        <v>1</v>
      </c>
      <c r="AD129" s="1" t="b">
        <f t="shared" si="33"/>
        <v>1</v>
      </c>
      <c r="AE129" s="1" t="b">
        <f t="shared" si="34"/>
        <v>1</v>
      </c>
      <c r="AF129" s="1" t="str">
        <f>Partidas!W129</f>
        <v>ok</v>
      </c>
      <c r="AG129" s="1" t="str">
        <f>Partidas!AK129</f>
        <v>ok</v>
      </c>
      <c r="AH129" s="1" t="str">
        <f t="shared" si="35"/>
        <v>Fjelstul World Cup Database + FootyStats CSV</v>
      </c>
      <c r="AI129" s="1">
        <f>Partidas!AX129</f>
        <v>0</v>
      </c>
    </row>
    <row r="130" spans="1:35" ht="15" customHeight="1">
      <c r="A130" s="1" t="str">
        <f>Partidas!C130</f>
        <v>M-2014-01</v>
      </c>
      <c r="B130" s="4">
        <f>Partidas!F130</f>
        <v>41802</v>
      </c>
      <c r="C130" s="1">
        <f>Partidas!A130</f>
        <v>2014</v>
      </c>
      <c r="D130" s="1" t="str">
        <f>Partidas!H130</f>
        <v>Brazil</v>
      </c>
      <c r="E130" s="1" t="str">
        <f>Partidas!I130</f>
        <v>Croatia</v>
      </c>
      <c r="F130" s="5">
        <f>Partidas!J130</f>
        <v>3</v>
      </c>
      <c r="G130" s="5">
        <f>Partidas!K130</f>
        <v>1</v>
      </c>
      <c r="H130" s="1" t="str">
        <f>Partidas!M130</f>
        <v>H</v>
      </c>
      <c r="I130" s="5">
        <f t="shared" ref="I130:I193" si="36">F130+G130</f>
        <v>4</v>
      </c>
      <c r="J130" s="1" t="b">
        <f t="shared" ref="J130:J193" si="37">I130&gt;1.5</f>
        <v>1</v>
      </c>
      <c r="K130" s="1" t="b">
        <f t="shared" ref="K130:K193" si="38">I130&gt;2.5</f>
        <v>1</v>
      </c>
      <c r="L130" s="1" t="b">
        <f t="shared" ref="L130:L193" si="39">I130&gt;3.5</f>
        <v>1</v>
      </c>
      <c r="M130" s="1" t="b">
        <f t="shared" ref="M130:M193" si="40">I130&lt;2.5</f>
        <v>0</v>
      </c>
      <c r="N130" s="1" t="b">
        <f t="shared" ref="N130:N193" si="41">I130&lt;3.5</f>
        <v>0</v>
      </c>
      <c r="O130" s="1" t="b">
        <f t="shared" ref="O130:O193" si="42">AND(F130&gt;0,G130&gt;0)</f>
        <v>1</v>
      </c>
      <c r="P130" s="1" t="b">
        <f t="shared" ref="P130:P193" si="43">OR(H130="H",H130="D")</f>
        <v>1</v>
      </c>
      <c r="Q130" s="1" t="b">
        <f t="shared" ref="Q130:Q193" si="44">OR(H130="H",H130="A")</f>
        <v>1</v>
      </c>
      <c r="R130" s="1" t="b">
        <f t="shared" ref="R130:R193" si="45">OR(H130="D",H130="A")</f>
        <v>0</v>
      </c>
      <c r="S130" s="5">
        <f>Partidas!T130</f>
        <v>7</v>
      </c>
      <c r="T130" s="5">
        <f>Partidas!U130</f>
        <v>3</v>
      </c>
      <c r="U130" s="5">
        <f t="shared" ref="U130:U193" si="46">IF(OR(S130="",T130=""),"",S130+T130)</f>
        <v>10</v>
      </c>
      <c r="V130" s="5" t="b">
        <f t="shared" ref="V130:V193" si="47">IF(U130="","dados_insuficientes",U130&gt;8.5)</f>
        <v>1</v>
      </c>
      <c r="W130" s="5" t="b">
        <f t="shared" ref="W130:W193" si="48">IF(U130="","dados_insuficientes",U130&gt;9.5)</f>
        <v>1</v>
      </c>
      <c r="X130" s="5">
        <f>Partidas!X130</f>
        <v>2</v>
      </c>
      <c r="Y130" s="5">
        <f>Partidas!Y130</f>
        <v>2</v>
      </c>
      <c r="Z130" s="5">
        <f>Partidas!AG130</f>
        <v>0</v>
      </c>
      <c r="AA130" s="5">
        <f>Partidas!AH130</f>
        <v>0</v>
      </c>
      <c r="AB130" s="5">
        <f t="shared" ref="AB130:AB193" si="49">X130+Y130+Z130+AA130</f>
        <v>4</v>
      </c>
      <c r="AC130" s="1" t="b">
        <f t="shared" ref="AC130:AC193" si="50">AB130&gt;3.5</f>
        <v>1</v>
      </c>
      <c r="AD130" s="1" t="b">
        <f t="shared" ref="AD130:AD193" si="51">AB130&gt;4.5</f>
        <v>0</v>
      </c>
      <c r="AE130" s="1" t="b">
        <f t="shared" ref="AE130:AE193" si="52">AB130&gt;5.5</f>
        <v>0</v>
      </c>
      <c r="AF130" s="1" t="str">
        <f>Partidas!W130</f>
        <v>ok</v>
      </c>
      <c r="AG130" s="1" t="str">
        <f>Partidas!AK130</f>
        <v>ok</v>
      </c>
      <c r="AH130" s="1" t="str">
        <f t="shared" ref="AH130:AH193" si="53">"Fjelstul World Cup Database + FootyStats CSV"</f>
        <v>Fjelstul World Cup Database + FootyStats CSV</v>
      </c>
      <c r="AI130" s="1">
        <f>Partidas!AX130</f>
        <v>0</v>
      </c>
    </row>
    <row r="131" spans="1:35" ht="15" customHeight="1">
      <c r="A131" s="1" t="str">
        <f>Partidas!C131</f>
        <v>M-2014-02</v>
      </c>
      <c r="B131" s="4">
        <f>Partidas!F131</f>
        <v>41803</v>
      </c>
      <c r="C131" s="1">
        <f>Partidas!A131</f>
        <v>2014</v>
      </c>
      <c r="D131" s="1" t="str">
        <f>Partidas!H131</f>
        <v>Mexico</v>
      </c>
      <c r="E131" s="1" t="str">
        <f>Partidas!I131</f>
        <v>Cameroon</v>
      </c>
      <c r="F131" s="5">
        <f>Partidas!J131</f>
        <v>1</v>
      </c>
      <c r="G131" s="5">
        <f>Partidas!K131</f>
        <v>0</v>
      </c>
      <c r="H131" s="1" t="str">
        <f>Partidas!M131</f>
        <v>H</v>
      </c>
      <c r="I131" s="5">
        <f t="shared" si="36"/>
        <v>1</v>
      </c>
      <c r="J131" s="1" t="b">
        <f t="shared" si="37"/>
        <v>0</v>
      </c>
      <c r="K131" s="1" t="b">
        <f t="shared" si="38"/>
        <v>0</v>
      </c>
      <c r="L131" s="1" t="b">
        <f t="shared" si="39"/>
        <v>0</v>
      </c>
      <c r="M131" s="1" t="b">
        <f t="shared" si="40"/>
        <v>1</v>
      </c>
      <c r="N131" s="1" t="b">
        <f t="shared" si="41"/>
        <v>1</v>
      </c>
      <c r="O131" s="1" t="b">
        <f t="shared" si="42"/>
        <v>0</v>
      </c>
      <c r="P131" s="1" t="b">
        <f t="shared" si="43"/>
        <v>1</v>
      </c>
      <c r="Q131" s="1" t="b">
        <f t="shared" si="44"/>
        <v>1</v>
      </c>
      <c r="R131" s="1" t="b">
        <f t="shared" si="45"/>
        <v>0</v>
      </c>
      <c r="S131" s="5">
        <f>Partidas!T131</f>
        <v>2</v>
      </c>
      <c r="T131" s="5">
        <f>Partidas!U131</f>
        <v>5</v>
      </c>
      <c r="U131" s="5">
        <f t="shared" si="46"/>
        <v>7</v>
      </c>
      <c r="V131" s="5" t="b">
        <f t="shared" si="47"/>
        <v>0</v>
      </c>
      <c r="W131" s="5" t="b">
        <f t="shared" si="48"/>
        <v>0</v>
      </c>
      <c r="X131" s="5">
        <f>Partidas!X131</f>
        <v>1</v>
      </c>
      <c r="Y131" s="5">
        <f>Partidas!Y131</f>
        <v>1</v>
      </c>
      <c r="Z131" s="5">
        <f>Partidas!AG131</f>
        <v>0</v>
      </c>
      <c r="AA131" s="5">
        <f>Partidas!AH131</f>
        <v>0</v>
      </c>
      <c r="AB131" s="5">
        <f t="shared" si="49"/>
        <v>2</v>
      </c>
      <c r="AC131" s="1" t="b">
        <f t="shared" si="50"/>
        <v>0</v>
      </c>
      <c r="AD131" s="1" t="b">
        <f t="shared" si="51"/>
        <v>0</v>
      </c>
      <c r="AE131" s="1" t="b">
        <f t="shared" si="52"/>
        <v>0</v>
      </c>
      <c r="AF131" s="1" t="str">
        <f>Partidas!W131</f>
        <v>ok</v>
      </c>
      <c r="AG131" s="1" t="str">
        <f>Partidas!AK131</f>
        <v>ok</v>
      </c>
      <c r="AH131" s="1" t="str">
        <f t="shared" si="53"/>
        <v>Fjelstul World Cup Database + FootyStats CSV</v>
      </c>
      <c r="AI131" s="1">
        <f>Partidas!AX131</f>
        <v>0</v>
      </c>
    </row>
    <row r="132" spans="1:35" ht="15" customHeight="1">
      <c r="A132" s="1" t="str">
        <f>Partidas!C132</f>
        <v>M-2014-03</v>
      </c>
      <c r="B132" s="4">
        <f>Partidas!F132</f>
        <v>41803</v>
      </c>
      <c r="C132" s="1">
        <f>Partidas!A132</f>
        <v>2014</v>
      </c>
      <c r="D132" s="1" t="str">
        <f>Partidas!H132</f>
        <v>Spain</v>
      </c>
      <c r="E132" s="1" t="str">
        <f>Partidas!I132</f>
        <v>Netherlands</v>
      </c>
      <c r="F132" s="5">
        <f>Partidas!J132</f>
        <v>1</v>
      </c>
      <c r="G132" s="5">
        <f>Partidas!K132</f>
        <v>5</v>
      </c>
      <c r="H132" s="1" t="str">
        <f>Partidas!M132</f>
        <v>A</v>
      </c>
      <c r="I132" s="5">
        <f t="shared" si="36"/>
        <v>6</v>
      </c>
      <c r="J132" s="1" t="b">
        <f t="shared" si="37"/>
        <v>1</v>
      </c>
      <c r="K132" s="1" t="b">
        <f t="shared" si="38"/>
        <v>1</v>
      </c>
      <c r="L132" s="1" t="b">
        <f t="shared" si="39"/>
        <v>1</v>
      </c>
      <c r="M132" s="1" t="b">
        <f t="shared" si="40"/>
        <v>0</v>
      </c>
      <c r="N132" s="1" t="b">
        <f t="shared" si="41"/>
        <v>0</v>
      </c>
      <c r="O132" s="1" t="b">
        <f t="shared" si="42"/>
        <v>1</v>
      </c>
      <c r="P132" s="1" t="b">
        <f t="shared" si="43"/>
        <v>0</v>
      </c>
      <c r="Q132" s="1" t="b">
        <f t="shared" si="44"/>
        <v>1</v>
      </c>
      <c r="R132" s="1" t="b">
        <f t="shared" si="45"/>
        <v>1</v>
      </c>
      <c r="S132" s="5">
        <f>Partidas!T132</f>
        <v>4</v>
      </c>
      <c r="T132" s="5">
        <f>Partidas!U132</f>
        <v>1</v>
      </c>
      <c r="U132" s="5">
        <f t="shared" si="46"/>
        <v>5</v>
      </c>
      <c r="V132" s="5" t="b">
        <f t="shared" si="47"/>
        <v>0</v>
      </c>
      <c r="W132" s="5" t="b">
        <f t="shared" si="48"/>
        <v>0</v>
      </c>
      <c r="X132" s="5">
        <f>Partidas!X132</f>
        <v>1</v>
      </c>
      <c r="Y132" s="5">
        <f>Partidas!Y132</f>
        <v>3</v>
      </c>
      <c r="Z132" s="5">
        <f>Partidas!AG132</f>
        <v>0</v>
      </c>
      <c r="AA132" s="5">
        <f>Partidas!AH132</f>
        <v>0</v>
      </c>
      <c r="AB132" s="5">
        <f t="shared" si="49"/>
        <v>4</v>
      </c>
      <c r="AC132" s="1" t="b">
        <f t="shared" si="50"/>
        <v>1</v>
      </c>
      <c r="AD132" s="1" t="b">
        <f t="shared" si="51"/>
        <v>0</v>
      </c>
      <c r="AE132" s="1" t="b">
        <f t="shared" si="52"/>
        <v>0</v>
      </c>
      <c r="AF132" s="1" t="str">
        <f>Partidas!W132</f>
        <v>ok</v>
      </c>
      <c r="AG132" s="1" t="str">
        <f>Partidas!AK132</f>
        <v>ok</v>
      </c>
      <c r="AH132" s="1" t="str">
        <f t="shared" si="53"/>
        <v>Fjelstul World Cup Database + FootyStats CSV</v>
      </c>
      <c r="AI132" s="1">
        <f>Partidas!AX132</f>
        <v>0</v>
      </c>
    </row>
    <row r="133" spans="1:35" ht="15" customHeight="1">
      <c r="A133" s="1" t="str">
        <f>Partidas!C133</f>
        <v>M-2014-04</v>
      </c>
      <c r="B133" s="4">
        <f>Partidas!F133</f>
        <v>41803</v>
      </c>
      <c r="C133" s="1">
        <f>Partidas!A133</f>
        <v>2014</v>
      </c>
      <c r="D133" s="1" t="str">
        <f>Partidas!H133</f>
        <v>Chile</v>
      </c>
      <c r="E133" s="1" t="str">
        <f>Partidas!I133</f>
        <v>Australia</v>
      </c>
      <c r="F133" s="5">
        <f>Partidas!J133</f>
        <v>3</v>
      </c>
      <c r="G133" s="5">
        <f>Partidas!K133</f>
        <v>1</v>
      </c>
      <c r="H133" s="1" t="str">
        <f>Partidas!M133</f>
        <v>H</v>
      </c>
      <c r="I133" s="5">
        <f t="shared" si="36"/>
        <v>4</v>
      </c>
      <c r="J133" s="1" t="b">
        <f t="shared" si="37"/>
        <v>1</v>
      </c>
      <c r="K133" s="1" t="b">
        <f t="shared" si="38"/>
        <v>1</v>
      </c>
      <c r="L133" s="1" t="b">
        <f t="shared" si="39"/>
        <v>1</v>
      </c>
      <c r="M133" s="1" t="b">
        <f t="shared" si="40"/>
        <v>0</v>
      </c>
      <c r="N133" s="1" t="b">
        <f t="shared" si="41"/>
        <v>0</v>
      </c>
      <c r="O133" s="1" t="b">
        <f t="shared" si="42"/>
        <v>1</v>
      </c>
      <c r="P133" s="1" t="b">
        <f t="shared" si="43"/>
        <v>1</v>
      </c>
      <c r="Q133" s="1" t="b">
        <f t="shared" si="44"/>
        <v>1</v>
      </c>
      <c r="R133" s="1" t="b">
        <f t="shared" si="45"/>
        <v>0</v>
      </c>
      <c r="S133" s="5">
        <f>Partidas!T133</f>
        <v>3</v>
      </c>
      <c r="T133" s="5">
        <f>Partidas!U133</f>
        <v>1</v>
      </c>
      <c r="U133" s="5">
        <f t="shared" si="46"/>
        <v>4</v>
      </c>
      <c r="V133" s="5" t="b">
        <f t="shared" si="47"/>
        <v>0</v>
      </c>
      <c r="W133" s="5" t="b">
        <f t="shared" si="48"/>
        <v>0</v>
      </c>
      <c r="X133" s="5">
        <f>Partidas!X133</f>
        <v>1</v>
      </c>
      <c r="Y133" s="5">
        <f>Partidas!Y133</f>
        <v>3</v>
      </c>
      <c r="Z133" s="5">
        <f>Partidas!AG133</f>
        <v>0</v>
      </c>
      <c r="AA133" s="5">
        <f>Partidas!AH133</f>
        <v>0</v>
      </c>
      <c r="AB133" s="5">
        <f t="shared" si="49"/>
        <v>4</v>
      </c>
      <c r="AC133" s="1" t="b">
        <f t="shared" si="50"/>
        <v>1</v>
      </c>
      <c r="AD133" s="1" t="b">
        <f t="shared" si="51"/>
        <v>0</v>
      </c>
      <c r="AE133" s="1" t="b">
        <f t="shared" si="52"/>
        <v>0</v>
      </c>
      <c r="AF133" s="1" t="str">
        <f>Partidas!W133</f>
        <v>ok</v>
      </c>
      <c r="AG133" s="1" t="str">
        <f>Partidas!AK133</f>
        <v>ok</v>
      </c>
      <c r="AH133" s="1" t="str">
        <f t="shared" si="53"/>
        <v>Fjelstul World Cup Database + FootyStats CSV</v>
      </c>
      <c r="AI133" s="1">
        <f>Partidas!AX133</f>
        <v>0</v>
      </c>
    </row>
    <row r="134" spans="1:35" ht="15" customHeight="1">
      <c r="A134" s="1" t="str">
        <f>Partidas!C134</f>
        <v>M-2014-05</v>
      </c>
      <c r="B134" s="4">
        <f>Partidas!F134</f>
        <v>41804</v>
      </c>
      <c r="C134" s="1">
        <f>Partidas!A134</f>
        <v>2014</v>
      </c>
      <c r="D134" s="1" t="str">
        <f>Partidas!H134</f>
        <v>Colombia</v>
      </c>
      <c r="E134" s="1" t="str">
        <f>Partidas!I134</f>
        <v>Greece</v>
      </c>
      <c r="F134" s="5">
        <f>Partidas!J134</f>
        <v>3</v>
      </c>
      <c r="G134" s="5">
        <f>Partidas!K134</f>
        <v>0</v>
      </c>
      <c r="H134" s="1" t="str">
        <f>Partidas!M134</f>
        <v>H</v>
      </c>
      <c r="I134" s="5">
        <f t="shared" si="36"/>
        <v>3</v>
      </c>
      <c r="J134" s="1" t="b">
        <f t="shared" si="37"/>
        <v>1</v>
      </c>
      <c r="K134" s="1" t="b">
        <f t="shared" si="38"/>
        <v>1</v>
      </c>
      <c r="L134" s="1" t="b">
        <f t="shared" si="39"/>
        <v>0</v>
      </c>
      <c r="M134" s="1" t="b">
        <f t="shared" si="40"/>
        <v>0</v>
      </c>
      <c r="N134" s="1" t="b">
        <f t="shared" si="41"/>
        <v>1</v>
      </c>
      <c r="O134" s="1" t="b">
        <f t="shared" si="42"/>
        <v>0</v>
      </c>
      <c r="P134" s="1" t="b">
        <f t="shared" si="43"/>
        <v>1</v>
      </c>
      <c r="Q134" s="1" t="b">
        <f t="shared" si="44"/>
        <v>1</v>
      </c>
      <c r="R134" s="1" t="b">
        <f t="shared" si="45"/>
        <v>0</v>
      </c>
      <c r="S134" s="5">
        <f>Partidas!T134</f>
        <v>4</v>
      </c>
      <c r="T134" s="5">
        <f>Partidas!U134</f>
        <v>4</v>
      </c>
      <c r="U134" s="5">
        <f t="shared" si="46"/>
        <v>8</v>
      </c>
      <c r="V134" s="5" t="b">
        <f t="shared" si="47"/>
        <v>0</v>
      </c>
      <c r="W134" s="5" t="b">
        <f t="shared" si="48"/>
        <v>0</v>
      </c>
      <c r="X134" s="5">
        <f>Partidas!X134</f>
        <v>1</v>
      </c>
      <c r="Y134" s="5">
        <f>Partidas!Y134</f>
        <v>2</v>
      </c>
      <c r="Z134" s="5">
        <f>Partidas!AG134</f>
        <v>0</v>
      </c>
      <c r="AA134" s="5">
        <f>Partidas!AH134</f>
        <v>0</v>
      </c>
      <c r="AB134" s="5">
        <f t="shared" si="49"/>
        <v>3</v>
      </c>
      <c r="AC134" s="1" t="b">
        <f t="shared" si="50"/>
        <v>0</v>
      </c>
      <c r="AD134" s="1" t="b">
        <f t="shared" si="51"/>
        <v>0</v>
      </c>
      <c r="AE134" s="1" t="b">
        <f t="shared" si="52"/>
        <v>0</v>
      </c>
      <c r="AF134" s="1" t="str">
        <f>Partidas!W134</f>
        <v>ok</v>
      </c>
      <c r="AG134" s="1" t="str">
        <f>Partidas!AK134</f>
        <v>ok</v>
      </c>
      <c r="AH134" s="1" t="str">
        <f t="shared" si="53"/>
        <v>Fjelstul World Cup Database + FootyStats CSV</v>
      </c>
      <c r="AI134" s="1">
        <f>Partidas!AX134</f>
        <v>0</v>
      </c>
    </row>
    <row r="135" spans="1:35" ht="15" customHeight="1">
      <c r="A135" s="1" t="str">
        <f>Partidas!C135</f>
        <v>M-2014-06</v>
      </c>
      <c r="B135" s="4">
        <f>Partidas!F135</f>
        <v>41804</v>
      </c>
      <c r="C135" s="1">
        <f>Partidas!A135</f>
        <v>2014</v>
      </c>
      <c r="D135" s="1" t="str">
        <f>Partidas!H135</f>
        <v>Uruguay</v>
      </c>
      <c r="E135" s="1" t="str">
        <f>Partidas!I135</f>
        <v>Costa Rica</v>
      </c>
      <c r="F135" s="5">
        <f>Partidas!J135</f>
        <v>1</v>
      </c>
      <c r="G135" s="5">
        <f>Partidas!K135</f>
        <v>3</v>
      </c>
      <c r="H135" s="1" t="str">
        <f>Partidas!M135</f>
        <v>A</v>
      </c>
      <c r="I135" s="5">
        <f t="shared" si="36"/>
        <v>4</v>
      </c>
      <c r="J135" s="1" t="b">
        <f t="shared" si="37"/>
        <v>1</v>
      </c>
      <c r="K135" s="1" t="b">
        <f t="shared" si="38"/>
        <v>1</v>
      </c>
      <c r="L135" s="1" t="b">
        <f t="shared" si="39"/>
        <v>1</v>
      </c>
      <c r="M135" s="1" t="b">
        <f t="shared" si="40"/>
        <v>0</v>
      </c>
      <c r="N135" s="1" t="b">
        <f t="shared" si="41"/>
        <v>0</v>
      </c>
      <c r="O135" s="1" t="b">
        <f t="shared" si="42"/>
        <v>1</v>
      </c>
      <c r="P135" s="1" t="b">
        <f t="shared" si="43"/>
        <v>0</v>
      </c>
      <c r="Q135" s="1" t="b">
        <f t="shared" si="44"/>
        <v>1</v>
      </c>
      <c r="R135" s="1" t="b">
        <f t="shared" si="45"/>
        <v>1</v>
      </c>
      <c r="S135" s="5">
        <f>Partidas!T135</f>
        <v>5</v>
      </c>
      <c r="T135" s="5">
        <f>Partidas!U135</f>
        <v>6</v>
      </c>
      <c r="U135" s="5">
        <f t="shared" si="46"/>
        <v>11</v>
      </c>
      <c r="V135" s="5" t="b">
        <f t="shared" si="47"/>
        <v>1</v>
      </c>
      <c r="W135" s="5" t="b">
        <f t="shared" si="48"/>
        <v>1</v>
      </c>
      <c r="X135" s="5">
        <f>Partidas!X135</f>
        <v>3</v>
      </c>
      <c r="Y135" s="5">
        <f>Partidas!Y135</f>
        <v>0</v>
      </c>
      <c r="Z135" s="5">
        <f>Partidas!AG135</f>
        <v>1</v>
      </c>
      <c r="AA135" s="5">
        <f>Partidas!AH135</f>
        <v>0</v>
      </c>
      <c r="AB135" s="5">
        <f t="shared" si="49"/>
        <v>4</v>
      </c>
      <c r="AC135" s="1" t="b">
        <f t="shared" si="50"/>
        <v>1</v>
      </c>
      <c r="AD135" s="1" t="b">
        <f t="shared" si="51"/>
        <v>0</v>
      </c>
      <c r="AE135" s="1" t="b">
        <f t="shared" si="52"/>
        <v>0</v>
      </c>
      <c r="AF135" s="1" t="str">
        <f>Partidas!W135</f>
        <v>ok</v>
      </c>
      <c r="AG135" s="1" t="str">
        <f>Partidas!AK135</f>
        <v>ok</v>
      </c>
      <c r="AH135" s="1" t="str">
        <f t="shared" si="53"/>
        <v>Fjelstul World Cup Database + FootyStats CSV</v>
      </c>
      <c r="AI135" s="1">
        <f>Partidas!AX135</f>
        <v>0</v>
      </c>
    </row>
    <row r="136" spans="1:35" ht="15" customHeight="1">
      <c r="A136" s="1" t="str">
        <f>Partidas!C136</f>
        <v>M-2014-07</v>
      </c>
      <c r="B136" s="4">
        <f>Partidas!F136</f>
        <v>41804</v>
      </c>
      <c r="C136" s="1">
        <f>Partidas!A136</f>
        <v>2014</v>
      </c>
      <c r="D136" s="1" t="str">
        <f>Partidas!H136</f>
        <v>England</v>
      </c>
      <c r="E136" s="1" t="str">
        <f>Partidas!I136</f>
        <v>Italy</v>
      </c>
      <c r="F136" s="5">
        <f>Partidas!J136</f>
        <v>1</v>
      </c>
      <c r="G136" s="5">
        <f>Partidas!K136</f>
        <v>2</v>
      </c>
      <c r="H136" s="1" t="str">
        <f>Partidas!M136</f>
        <v>A</v>
      </c>
      <c r="I136" s="5">
        <f t="shared" si="36"/>
        <v>3</v>
      </c>
      <c r="J136" s="1" t="b">
        <f t="shared" si="37"/>
        <v>1</v>
      </c>
      <c r="K136" s="1" t="b">
        <f t="shared" si="38"/>
        <v>1</v>
      </c>
      <c r="L136" s="1" t="b">
        <f t="shared" si="39"/>
        <v>0</v>
      </c>
      <c r="M136" s="1" t="b">
        <f t="shared" si="40"/>
        <v>0</v>
      </c>
      <c r="N136" s="1" t="b">
        <f t="shared" si="41"/>
        <v>1</v>
      </c>
      <c r="O136" s="1" t="b">
        <f t="shared" si="42"/>
        <v>1</v>
      </c>
      <c r="P136" s="1" t="b">
        <f t="shared" si="43"/>
        <v>0</v>
      </c>
      <c r="Q136" s="1" t="b">
        <f t="shared" si="44"/>
        <v>1</v>
      </c>
      <c r="R136" s="1" t="b">
        <f t="shared" si="45"/>
        <v>1</v>
      </c>
      <c r="S136" s="5">
        <f>Partidas!T136</f>
        <v>9</v>
      </c>
      <c r="T136" s="5">
        <f>Partidas!U136</f>
        <v>2</v>
      </c>
      <c r="U136" s="5">
        <f t="shared" si="46"/>
        <v>11</v>
      </c>
      <c r="V136" s="5" t="b">
        <f t="shared" si="47"/>
        <v>1</v>
      </c>
      <c r="W136" s="5" t="b">
        <f t="shared" si="48"/>
        <v>1</v>
      </c>
      <c r="X136" s="5">
        <f>Partidas!X136</f>
        <v>1</v>
      </c>
      <c r="Y136" s="5">
        <f>Partidas!Y136</f>
        <v>0</v>
      </c>
      <c r="Z136" s="5">
        <f>Partidas!AG136</f>
        <v>0</v>
      </c>
      <c r="AA136" s="5">
        <f>Partidas!AH136</f>
        <v>0</v>
      </c>
      <c r="AB136" s="5">
        <f t="shared" si="49"/>
        <v>1</v>
      </c>
      <c r="AC136" s="1" t="b">
        <f t="shared" si="50"/>
        <v>0</v>
      </c>
      <c r="AD136" s="1" t="b">
        <f t="shared" si="51"/>
        <v>0</v>
      </c>
      <c r="AE136" s="1" t="b">
        <f t="shared" si="52"/>
        <v>0</v>
      </c>
      <c r="AF136" s="1" t="str">
        <f>Partidas!W136</f>
        <v>ok</v>
      </c>
      <c r="AG136" s="1" t="str">
        <f>Partidas!AK136</f>
        <v>ok</v>
      </c>
      <c r="AH136" s="1" t="str">
        <f t="shared" si="53"/>
        <v>Fjelstul World Cup Database + FootyStats CSV</v>
      </c>
      <c r="AI136" s="1">
        <f>Partidas!AX136</f>
        <v>0</v>
      </c>
    </row>
    <row r="137" spans="1:35" ht="15" customHeight="1">
      <c r="A137" s="1" t="str">
        <f>Partidas!C137</f>
        <v>M-2014-08</v>
      </c>
      <c r="B137" s="4">
        <f>Partidas!F137</f>
        <v>41804</v>
      </c>
      <c r="C137" s="1">
        <f>Partidas!A137</f>
        <v>2014</v>
      </c>
      <c r="D137" s="1" t="str">
        <f>Partidas!H137</f>
        <v>Ivory Coast</v>
      </c>
      <c r="E137" s="1" t="str">
        <f>Partidas!I137</f>
        <v>Japan</v>
      </c>
      <c r="F137" s="5">
        <f>Partidas!J137</f>
        <v>2</v>
      </c>
      <c r="G137" s="5">
        <f>Partidas!K137</f>
        <v>1</v>
      </c>
      <c r="H137" s="1" t="str">
        <f>Partidas!M137</f>
        <v>H</v>
      </c>
      <c r="I137" s="5">
        <f t="shared" si="36"/>
        <v>3</v>
      </c>
      <c r="J137" s="1" t="b">
        <f t="shared" si="37"/>
        <v>1</v>
      </c>
      <c r="K137" s="1" t="b">
        <f t="shared" si="38"/>
        <v>1</v>
      </c>
      <c r="L137" s="1" t="b">
        <f t="shared" si="39"/>
        <v>0</v>
      </c>
      <c r="M137" s="1" t="b">
        <f t="shared" si="40"/>
        <v>0</v>
      </c>
      <c r="N137" s="1" t="b">
        <f t="shared" si="41"/>
        <v>1</v>
      </c>
      <c r="O137" s="1" t="b">
        <f t="shared" si="42"/>
        <v>1</v>
      </c>
      <c r="P137" s="1" t="b">
        <f t="shared" si="43"/>
        <v>1</v>
      </c>
      <c r="Q137" s="1" t="b">
        <f t="shared" si="44"/>
        <v>1</v>
      </c>
      <c r="R137" s="1" t="b">
        <f t="shared" si="45"/>
        <v>0</v>
      </c>
      <c r="S137" s="5">
        <f>Partidas!T137</f>
        <v>8</v>
      </c>
      <c r="T137" s="5">
        <f>Partidas!U137</f>
        <v>5</v>
      </c>
      <c r="U137" s="5">
        <f t="shared" si="46"/>
        <v>13</v>
      </c>
      <c r="V137" s="5" t="b">
        <f t="shared" si="47"/>
        <v>1</v>
      </c>
      <c r="W137" s="5" t="b">
        <f t="shared" si="48"/>
        <v>1</v>
      </c>
      <c r="X137" s="5">
        <f>Partidas!X137</f>
        <v>2</v>
      </c>
      <c r="Y137" s="5">
        <f>Partidas!Y137</f>
        <v>2</v>
      </c>
      <c r="Z137" s="5">
        <f>Partidas!AG137</f>
        <v>0</v>
      </c>
      <c r="AA137" s="5">
        <f>Partidas!AH137</f>
        <v>0</v>
      </c>
      <c r="AB137" s="5">
        <f t="shared" si="49"/>
        <v>4</v>
      </c>
      <c r="AC137" s="1" t="b">
        <f t="shared" si="50"/>
        <v>1</v>
      </c>
      <c r="AD137" s="1" t="b">
        <f t="shared" si="51"/>
        <v>0</v>
      </c>
      <c r="AE137" s="1" t="b">
        <f t="shared" si="52"/>
        <v>0</v>
      </c>
      <c r="AF137" s="1" t="str">
        <f>Partidas!W137</f>
        <v>ok</v>
      </c>
      <c r="AG137" s="1" t="str">
        <f>Partidas!AK137</f>
        <v>ok</v>
      </c>
      <c r="AH137" s="1" t="str">
        <f t="shared" si="53"/>
        <v>Fjelstul World Cup Database + FootyStats CSV</v>
      </c>
      <c r="AI137" s="1">
        <f>Partidas!AX137</f>
        <v>0</v>
      </c>
    </row>
    <row r="138" spans="1:35" ht="15" customHeight="1">
      <c r="A138" s="1" t="str">
        <f>Partidas!C138</f>
        <v>M-2014-09</v>
      </c>
      <c r="B138" s="4">
        <f>Partidas!F138</f>
        <v>41805</v>
      </c>
      <c r="C138" s="1">
        <f>Partidas!A138</f>
        <v>2014</v>
      </c>
      <c r="D138" s="1" t="str">
        <f>Partidas!H138</f>
        <v>Switzerland</v>
      </c>
      <c r="E138" s="1" t="str">
        <f>Partidas!I138</f>
        <v>Ecuador</v>
      </c>
      <c r="F138" s="5">
        <f>Partidas!J138</f>
        <v>2</v>
      </c>
      <c r="G138" s="5">
        <f>Partidas!K138</f>
        <v>1</v>
      </c>
      <c r="H138" s="1" t="str">
        <f>Partidas!M138</f>
        <v>H</v>
      </c>
      <c r="I138" s="5">
        <f t="shared" si="36"/>
        <v>3</v>
      </c>
      <c r="J138" s="1" t="b">
        <f t="shared" si="37"/>
        <v>1</v>
      </c>
      <c r="K138" s="1" t="b">
        <f t="shared" si="38"/>
        <v>1</v>
      </c>
      <c r="L138" s="1" t="b">
        <f t="shared" si="39"/>
        <v>0</v>
      </c>
      <c r="M138" s="1" t="b">
        <f t="shared" si="40"/>
        <v>0</v>
      </c>
      <c r="N138" s="1" t="b">
        <f t="shared" si="41"/>
        <v>1</v>
      </c>
      <c r="O138" s="1" t="b">
        <f t="shared" si="42"/>
        <v>1</v>
      </c>
      <c r="P138" s="1" t="b">
        <f t="shared" si="43"/>
        <v>1</v>
      </c>
      <c r="Q138" s="1" t="b">
        <f t="shared" si="44"/>
        <v>1</v>
      </c>
      <c r="R138" s="1" t="b">
        <f t="shared" si="45"/>
        <v>0</v>
      </c>
      <c r="S138" s="5">
        <f>Partidas!T138</f>
        <v>8</v>
      </c>
      <c r="T138" s="5">
        <f>Partidas!U138</f>
        <v>5</v>
      </c>
      <c r="U138" s="5">
        <f t="shared" si="46"/>
        <v>13</v>
      </c>
      <c r="V138" s="5" t="b">
        <f t="shared" si="47"/>
        <v>1</v>
      </c>
      <c r="W138" s="5" t="b">
        <f t="shared" si="48"/>
        <v>1</v>
      </c>
      <c r="X138" s="5">
        <f>Partidas!X138</f>
        <v>1</v>
      </c>
      <c r="Y138" s="5">
        <f>Partidas!Y138</f>
        <v>1</v>
      </c>
      <c r="Z138" s="5">
        <f>Partidas!AG138</f>
        <v>0</v>
      </c>
      <c r="AA138" s="5">
        <f>Partidas!AH138</f>
        <v>0</v>
      </c>
      <c r="AB138" s="5">
        <f t="shared" si="49"/>
        <v>2</v>
      </c>
      <c r="AC138" s="1" t="b">
        <f t="shared" si="50"/>
        <v>0</v>
      </c>
      <c r="AD138" s="1" t="b">
        <f t="shared" si="51"/>
        <v>0</v>
      </c>
      <c r="AE138" s="1" t="b">
        <f t="shared" si="52"/>
        <v>0</v>
      </c>
      <c r="AF138" s="1" t="str">
        <f>Partidas!W138</f>
        <v>ok</v>
      </c>
      <c r="AG138" s="1" t="str">
        <f>Partidas!AK138</f>
        <v>ok</v>
      </c>
      <c r="AH138" s="1" t="str">
        <f t="shared" si="53"/>
        <v>Fjelstul World Cup Database + FootyStats CSV</v>
      </c>
      <c r="AI138" s="1">
        <f>Partidas!AX138</f>
        <v>0</v>
      </c>
    </row>
    <row r="139" spans="1:35" ht="15" customHeight="1">
      <c r="A139" s="1" t="str">
        <f>Partidas!C139</f>
        <v>M-2014-10</v>
      </c>
      <c r="B139" s="4">
        <f>Partidas!F139</f>
        <v>41805</v>
      </c>
      <c r="C139" s="1">
        <f>Partidas!A139</f>
        <v>2014</v>
      </c>
      <c r="D139" s="1" t="str">
        <f>Partidas!H139</f>
        <v>France</v>
      </c>
      <c r="E139" s="1" t="str">
        <f>Partidas!I139</f>
        <v>Honduras</v>
      </c>
      <c r="F139" s="5">
        <f>Partidas!J139</f>
        <v>3</v>
      </c>
      <c r="G139" s="5">
        <f>Partidas!K139</f>
        <v>0</v>
      </c>
      <c r="H139" s="1" t="str">
        <f>Partidas!M139</f>
        <v>H</v>
      </c>
      <c r="I139" s="5">
        <f t="shared" si="36"/>
        <v>3</v>
      </c>
      <c r="J139" s="1" t="b">
        <f t="shared" si="37"/>
        <v>1</v>
      </c>
      <c r="K139" s="1" t="b">
        <f t="shared" si="38"/>
        <v>1</v>
      </c>
      <c r="L139" s="1" t="b">
        <f t="shared" si="39"/>
        <v>0</v>
      </c>
      <c r="M139" s="1" t="b">
        <f t="shared" si="40"/>
        <v>0</v>
      </c>
      <c r="N139" s="1" t="b">
        <f t="shared" si="41"/>
        <v>1</v>
      </c>
      <c r="O139" s="1" t="b">
        <f t="shared" si="42"/>
        <v>0</v>
      </c>
      <c r="P139" s="1" t="b">
        <f t="shared" si="43"/>
        <v>1</v>
      </c>
      <c r="Q139" s="1" t="b">
        <f t="shared" si="44"/>
        <v>1</v>
      </c>
      <c r="R139" s="1" t="b">
        <f t="shared" si="45"/>
        <v>0</v>
      </c>
      <c r="S139" s="5">
        <f>Partidas!T139</f>
        <v>8</v>
      </c>
      <c r="T139" s="5">
        <f>Partidas!U139</f>
        <v>0</v>
      </c>
      <c r="U139" s="5">
        <f t="shared" si="46"/>
        <v>8</v>
      </c>
      <c r="V139" s="5" t="b">
        <f t="shared" si="47"/>
        <v>0</v>
      </c>
      <c r="W139" s="5" t="b">
        <f t="shared" si="48"/>
        <v>0</v>
      </c>
      <c r="X139" s="5">
        <f>Partidas!X139</f>
        <v>3</v>
      </c>
      <c r="Y139" s="5">
        <f>Partidas!Y139</f>
        <v>3</v>
      </c>
      <c r="Z139" s="5">
        <f>Partidas!AG139</f>
        <v>0</v>
      </c>
      <c r="AA139" s="5">
        <f>Partidas!AH139</f>
        <v>1</v>
      </c>
      <c r="AB139" s="5">
        <f t="shared" si="49"/>
        <v>7</v>
      </c>
      <c r="AC139" s="1" t="b">
        <f t="shared" si="50"/>
        <v>1</v>
      </c>
      <c r="AD139" s="1" t="b">
        <f t="shared" si="51"/>
        <v>1</v>
      </c>
      <c r="AE139" s="1" t="b">
        <f t="shared" si="52"/>
        <v>1</v>
      </c>
      <c r="AF139" s="1" t="str">
        <f>Partidas!W139</f>
        <v>ok</v>
      </c>
      <c r="AG139" s="1" t="str">
        <f>Partidas!AK139</f>
        <v>ok</v>
      </c>
      <c r="AH139" s="1" t="str">
        <f t="shared" si="53"/>
        <v>Fjelstul World Cup Database + FootyStats CSV</v>
      </c>
      <c r="AI139" s="1">
        <f>Partidas!AX139</f>
        <v>0</v>
      </c>
    </row>
    <row r="140" spans="1:35" ht="15" customHeight="1">
      <c r="A140" s="1" t="str">
        <f>Partidas!C140</f>
        <v>M-2014-11</v>
      </c>
      <c r="B140" s="4">
        <f>Partidas!F140</f>
        <v>41805</v>
      </c>
      <c r="C140" s="1">
        <f>Partidas!A140</f>
        <v>2014</v>
      </c>
      <c r="D140" s="1" t="str">
        <f>Partidas!H140</f>
        <v>Argentina</v>
      </c>
      <c r="E140" s="1" t="str">
        <f>Partidas!I140</f>
        <v>Bosnia and Herzegovina</v>
      </c>
      <c r="F140" s="5">
        <f>Partidas!J140</f>
        <v>2</v>
      </c>
      <c r="G140" s="5">
        <f>Partidas!K140</f>
        <v>1</v>
      </c>
      <c r="H140" s="1" t="str">
        <f>Partidas!M140</f>
        <v>H</v>
      </c>
      <c r="I140" s="5">
        <f t="shared" si="36"/>
        <v>3</v>
      </c>
      <c r="J140" s="1" t="b">
        <f t="shared" si="37"/>
        <v>1</v>
      </c>
      <c r="K140" s="1" t="b">
        <f t="shared" si="38"/>
        <v>1</v>
      </c>
      <c r="L140" s="1" t="b">
        <f t="shared" si="39"/>
        <v>0</v>
      </c>
      <c r="M140" s="1" t="b">
        <f t="shared" si="40"/>
        <v>0</v>
      </c>
      <c r="N140" s="1" t="b">
        <f t="shared" si="41"/>
        <v>1</v>
      </c>
      <c r="O140" s="1" t="b">
        <f t="shared" si="42"/>
        <v>1</v>
      </c>
      <c r="P140" s="1" t="b">
        <f t="shared" si="43"/>
        <v>1</v>
      </c>
      <c r="Q140" s="1" t="b">
        <f t="shared" si="44"/>
        <v>1</v>
      </c>
      <c r="R140" s="1" t="b">
        <f t="shared" si="45"/>
        <v>0</v>
      </c>
      <c r="S140" s="5">
        <f>Partidas!T140</f>
        <v>2</v>
      </c>
      <c r="T140" s="5">
        <f>Partidas!U140</f>
        <v>6</v>
      </c>
      <c r="U140" s="5">
        <f t="shared" si="46"/>
        <v>8</v>
      </c>
      <c r="V140" s="5" t="b">
        <f t="shared" si="47"/>
        <v>0</v>
      </c>
      <c r="W140" s="5" t="b">
        <f t="shared" si="48"/>
        <v>0</v>
      </c>
      <c r="X140" s="5">
        <f>Partidas!X140</f>
        <v>1</v>
      </c>
      <c r="Y140" s="5">
        <f>Partidas!Y140</f>
        <v>1</v>
      </c>
      <c r="Z140" s="5">
        <f>Partidas!AG140</f>
        <v>0</v>
      </c>
      <c r="AA140" s="5">
        <f>Partidas!AH140</f>
        <v>0</v>
      </c>
      <c r="AB140" s="5">
        <f t="shared" si="49"/>
        <v>2</v>
      </c>
      <c r="AC140" s="1" t="b">
        <f t="shared" si="50"/>
        <v>0</v>
      </c>
      <c r="AD140" s="1" t="b">
        <f t="shared" si="51"/>
        <v>0</v>
      </c>
      <c r="AE140" s="1" t="b">
        <f t="shared" si="52"/>
        <v>0</v>
      </c>
      <c r="AF140" s="1" t="str">
        <f>Partidas!W140</f>
        <v>ok</v>
      </c>
      <c r="AG140" s="1" t="str">
        <f>Partidas!AK140</f>
        <v>ok</v>
      </c>
      <c r="AH140" s="1" t="str">
        <f t="shared" si="53"/>
        <v>Fjelstul World Cup Database + FootyStats CSV</v>
      </c>
      <c r="AI140" s="1">
        <f>Partidas!AX140</f>
        <v>0</v>
      </c>
    </row>
    <row r="141" spans="1:35" ht="15" customHeight="1">
      <c r="A141" s="1" t="str">
        <f>Partidas!C141</f>
        <v>M-2014-12</v>
      </c>
      <c r="B141" s="4">
        <f>Partidas!F141</f>
        <v>41806</v>
      </c>
      <c r="C141" s="1">
        <f>Partidas!A141</f>
        <v>2014</v>
      </c>
      <c r="D141" s="1" t="str">
        <f>Partidas!H141</f>
        <v>Germany</v>
      </c>
      <c r="E141" s="1" t="str">
        <f>Partidas!I141</f>
        <v>Portugal</v>
      </c>
      <c r="F141" s="5">
        <f>Partidas!J141</f>
        <v>4</v>
      </c>
      <c r="G141" s="5">
        <f>Partidas!K141</f>
        <v>0</v>
      </c>
      <c r="H141" s="1" t="str">
        <f>Partidas!M141</f>
        <v>H</v>
      </c>
      <c r="I141" s="5">
        <f t="shared" si="36"/>
        <v>4</v>
      </c>
      <c r="J141" s="1" t="b">
        <f t="shared" si="37"/>
        <v>1</v>
      </c>
      <c r="K141" s="1" t="b">
        <f t="shared" si="38"/>
        <v>1</v>
      </c>
      <c r="L141" s="1" t="b">
        <f t="shared" si="39"/>
        <v>1</v>
      </c>
      <c r="M141" s="1" t="b">
        <f t="shared" si="40"/>
        <v>0</v>
      </c>
      <c r="N141" s="1" t="b">
        <f t="shared" si="41"/>
        <v>0</v>
      </c>
      <c r="O141" s="1" t="b">
        <f t="shared" si="42"/>
        <v>0</v>
      </c>
      <c r="P141" s="1" t="b">
        <f t="shared" si="43"/>
        <v>1</v>
      </c>
      <c r="Q141" s="1" t="b">
        <f t="shared" si="44"/>
        <v>1</v>
      </c>
      <c r="R141" s="1" t="b">
        <f t="shared" si="45"/>
        <v>0</v>
      </c>
      <c r="S141" s="5">
        <f>Partidas!T141</f>
        <v>4</v>
      </c>
      <c r="T141" s="5">
        <f>Partidas!U141</f>
        <v>6</v>
      </c>
      <c r="U141" s="5">
        <f t="shared" si="46"/>
        <v>10</v>
      </c>
      <c r="V141" s="5" t="b">
        <f t="shared" si="47"/>
        <v>1</v>
      </c>
      <c r="W141" s="5" t="b">
        <f t="shared" si="48"/>
        <v>1</v>
      </c>
      <c r="X141" s="5">
        <f>Partidas!X141</f>
        <v>0</v>
      </c>
      <c r="Y141" s="5">
        <f>Partidas!Y141</f>
        <v>1</v>
      </c>
      <c r="Z141" s="5">
        <f>Partidas!AG141</f>
        <v>0</v>
      </c>
      <c r="AA141" s="5">
        <f>Partidas!AH141</f>
        <v>1</v>
      </c>
      <c r="AB141" s="5">
        <f t="shared" si="49"/>
        <v>2</v>
      </c>
      <c r="AC141" s="1" t="b">
        <f t="shared" si="50"/>
        <v>0</v>
      </c>
      <c r="AD141" s="1" t="b">
        <f t="shared" si="51"/>
        <v>0</v>
      </c>
      <c r="AE141" s="1" t="b">
        <f t="shared" si="52"/>
        <v>0</v>
      </c>
      <c r="AF141" s="1" t="str">
        <f>Partidas!W141</f>
        <v>ok</v>
      </c>
      <c r="AG141" s="1" t="str">
        <f>Partidas!AK141</f>
        <v>ok</v>
      </c>
      <c r="AH141" s="1" t="str">
        <f t="shared" si="53"/>
        <v>Fjelstul World Cup Database + FootyStats CSV</v>
      </c>
      <c r="AI141" s="1">
        <f>Partidas!AX141</f>
        <v>0</v>
      </c>
    </row>
    <row r="142" spans="1:35" ht="15" customHeight="1">
      <c r="A142" s="1" t="str">
        <f>Partidas!C142</f>
        <v>M-2014-13</v>
      </c>
      <c r="B142" s="4">
        <f>Partidas!F142</f>
        <v>41806</v>
      </c>
      <c r="C142" s="1">
        <f>Partidas!A142</f>
        <v>2014</v>
      </c>
      <c r="D142" s="1" t="str">
        <f>Partidas!H142</f>
        <v>Iran</v>
      </c>
      <c r="E142" s="1" t="str">
        <f>Partidas!I142</f>
        <v>Nigeria</v>
      </c>
      <c r="F142" s="5">
        <f>Partidas!J142</f>
        <v>0</v>
      </c>
      <c r="G142" s="5">
        <f>Partidas!K142</f>
        <v>0</v>
      </c>
      <c r="H142" s="1" t="str">
        <f>Partidas!M142</f>
        <v>D</v>
      </c>
      <c r="I142" s="5">
        <f t="shared" si="36"/>
        <v>0</v>
      </c>
      <c r="J142" s="1" t="b">
        <f t="shared" si="37"/>
        <v>0</v>
      </c>
      <c r="K142" s="1" t="b">
        <f t="shared" si="38"/>
        <v>0</v>
      </c>
      <c r="L142" s="1" t="b">
        <f t="shared" si="39"/>
        <v>0</v>
      </c>
      <c r="M142" s="1" t="b">
        <f t="shared" si="40"/>
        <v>1</v>
      </c>
      <c r="N142" s="1" t="b">
        <f t="shared" si="41"/>
        <v>1</v>
      </c>
      <c r="O142" s="1" t="b">
        <f t="shared" si="42"/>
        <v>0</v>
      </c>
      <c r="P142" s="1" t="b">
        <f t="shared" si="43"/>
        <v>1</v>
      </c>
      <c r="Q142" s="1" t="b">
        <f t="shared" si="44"/>
        <v>0</v>
      </c>
      <c r="R142" s="1" t="b">
        <f t="shared" si="45"/>
        <v>1</v>
      </c>
      <c r="S142" s="5">
        <f>Partidas!T142</f>
        <v>2</v>
      </c>
      <c r="T142" s="5">
        <f>Partidas!U142</f>
        <v>7</v>
      </c>
      <c r="U142" s="5">
        <f t="shared" si="46"/>
        <v>9</v>
      </c>
      <c r="V142" s="5" t="b">
        <f t="shared" si="47"/>
        <v>1</v>
      </c>
      <c r="W142" s="5" t="b">
        <f t="shared" si="48"/>
        <v>0</v>
      </c>
      <c r="X142" s="5">
        <f>Partidas!X142</f>
        <v>1</v>
      </c>
      <c r="Y142" s="5">
        <f>Partidas!Y142</f>
        <v>0</v>
      </c>
      <c r="Z142" s="5">
        <f>Partidas!AG142</f>
        <v>0</v>
      </c>
      <c r="AA142" s="5">
        <f>Partidas!AH142</f>
        <v>0</v>
      </c>
      <c r="AB142" s="5">
        <f t="shared" si="49"/>
        <v>1</v>
      </c>
      <c r="AC142" s="1" t="b">
        <f t="shared" si="50"/>
        <v>0</v>
      </c>
      <c r="AD142" s="1" t="b">
        <f t="shared" si="51"/>
        <v>0</v>
      </c>
      <c r="AE142" s="1" t="b">
        <f t="shared" si="52"/>
        <v>0</v>
      </c>
      <c r="AF142" s="1" t="str">
        <f>Partidas!W142</f>
        <v>ok</v>
      </c>
      <c r="AG142" s="1" t="str">
        <f>Partidas!AK142</f>
        <v>ok</v>
      </c>
      <c r="AH142" s="1" t="str">
        <f t="shared" si="53"/>
        <v>Fjelstul World Cup Database + FootyStats CSV</v>
      </c>
      <c r="AI142" s="1">
        <f>Partidas!AX142</f>
        <v>0</v>
      </c>
    </row>
    <row r="143" spans="1:35" ht="15" customHeight="1">
      <c r="A143" s="1" t="str">
        <f>Partidas!C143</f>
        <v>M-2014-14</v>
      </c>
      <c r="B143" s="4">
        <f>Partidas!F143</f>
        <v>41806</v>
      </c>
      <c r="C143" s="1">
        <f>Partidas!A143</f>
        <v>2014</v>
      </c>
      <c r="D143" s="1" t="str">
        <f>Partidas!H143</f>
        <v>Ghana</v>
      </c>
      <c r="E143" s="1" t="str">
        <f>Partidas!I143</f>
        <v>United States</v>
      </c>
      <c r="F143" s="5">
        <f>Partidas!J143</f>
        <v>1</v>
      </c>
      <c r="G143" s="5">
        <f>Partidas!K143</f>
        <v>2</v>
      </c>
      <c r="H143" s="1" t="str">
        <f>Partidas!M143</f>
        <v>A</v>
      </c>
      <c r="I143" s="5">
        <f t="shared" si="36"/>
        <v>3</v>
      </c>
      <c r="J143" s="1" t="b">
        <f t="shared" si="37"/>
        <v>1</v>
      </c>
      <c r="K143" s="1" t="b">
        <f t="shared" si="38"/>
        <v>1</v>
      </c>
      <c r="L143" s="1" t="b">
        <f t="shared" si="39"/>
        <v>0</v>
      </c>
      <c r="M143" s="1" t="b">
        <f t="shared" si="40"/>
        <v>0</v>
      </c>
      <c r="N143" s="1" t="b">
        <f t="shared" si="41"/>
        <v>1</v>
      </c>
      <c r="O143" s="1" t="b">
        <f t="shared" si="42"/>
        <v>1</v>
      </c>
      <c r="P143" s="1" t="b">
        <f t="shared" si="43"/>
        <v>0</v>
      </c>
      <c r="Q143" s="1" t="b">
        <f t="shared" si="44"/>
        <v>1</v>
      </c>
      <c r="R143" s="1" t="b">
        <f t="shared" si="45"/>
        <v>1</v>
      </c>
      <c r="S143" s="5">
        <f>Partidas!T143</f>
        <v>7</v>
      </c>
      <c r="T143" s="5">
        <f>Partidas!U143</f>
        <v>3</v>
      </c>
      <c r="U143" s="5">
        <f t="shared" si="46"/>
        <v>10</v>
      </c>
      <c r="V143" s="5" t="b">
        <f t="shared" si="47"/>
        <v>1</v>
      </c>
      <c r="W143" s="5" t="b">
        <f t="shared" si="48"/>
        <v>1</v>
      </c>
      <c r="X143" s="5">
        <f>Partidas!X143</f>
        <v>2</v>
      </c>
      <c r="Y143" s="5">
        <f>Partidas!Y143</f>
        <v>0</v>
      </c>
      <c r="Z143" s="5">
        <f>Partidas!AG143</f>
        <v>0</v>
      </c>
      <c r="AA143" s="5">
        <f>Partidas!AH143</f>
        <v>0</v>
      </c>
      <c r="AB143" s="5">
        <f t="shared" si="49"/>
        <v>2</v>
      </c>
      <c r="AC143" s="1" t="b">
        <f t="shared" si="50"/>
        <v>0</v>
      </c>
      <c r="AD143" s="1" t="b">
        <f t="shared" si="51"/>
        <v>0</v>
      </c>
      <c r="AE143" s="1" t="b">
        <f t="shared" si="52"/>
        <v>0</v>
      </c>
      <c r="AF143" s="1" t="str">
        <f>Partidas!W143</f>
        <v>ok</v>
      </c>
      <c r="AG143" s="1" t="str">
        <f>Partidas!AK143</f>
        <v>ok</v>
      </c>
      <c r="AH143" s="1" t="str">
        <f t="shared" si="53"/>
        <v>Fjelstul World Cup Database + FootyStats CSV</v>
      </c>
      <c r="AI143" s="1">
        <f>Partidas!AX143</f>
        <v>0</v>
      </c>
    </row>
    <row r="144" spans="1:35" ht="15" customHeight="1">
      <c r="A144" s="1" t="str">
        <f>Partidas!C144</f>
        <v>M-2014-15</v>
      </c>
      <c r="B144" s="4">
        <f>Partidas!F144</f>
        <v>41807</v>
      </c>
      <c r="C144" s="1">
        <f>Partidas!A144</f>
        <v>2014</v>
      </c>
      <c r="D144" s="1" t="str">
        <f>Partidas!H144</f>
        <v>Belgium</v>
      </c>
      <c r="E144" s="1" t="str">
        <f>Partidas!I144</f>
        <v>Algeria</v>
      </c>
      <c r="F144" s="5">
        <f>Partidas!J144</f>
        <v>2</v>
      </c>
      <c r="G144" s="5">
        <f>Partidas!K144</f>
        <v>1</v>
      </c>
      <c r="H144" s="1" t="str">
        <f>Partidas!M144</f>
        <v>H</v>
      </c>
      <c r="I144" s="5">
        <f t="shared" si="36"/>
        <v>3</v>
      </c>
      <c r="J144" s="1" t="b">
        <f t="shared" si="37"/>
        <v>1</v>
      </c>
      <c r="K144" s="1" t="b">
        <f t="shared" si="38"/>
        <v>1</v>
      </c>
      <c r="L144" s="1" t="b">
        <f t="shared" si="39"/>
        <v>0</v>
      </c>
      <c r="M144" s="1" t="b">
        <f t="shared" si="40"/>
        <v>0</v>
      </c>
      <c r="N144" s="1" t="b">
        <f t="shared" si="41"/>
        <v>1</v>
      </c>
      <c r="O144" s="1" t="b">
        <f t="shared" si="42"/>
        <v>1</v>
      </c>
      <c r="P144" s="1" t="b">
        <f t="shared" si="43"/>
        <v>1</v>
      </c>
      <c r="Q144" s="1" t="b">
        <f t="shared" si="44"/>
        <v>1</v>
      </c>
      <c r="R144" s="1" t="b">
        <f t="shared" si="45"/>
        <v>0</v>
      </c>
      <c r="S144" s="5">
        <f>Partidas!T144</f>
        <v>7</v>
      </c>
      <c r="T144" s="5">
        <f>Partidas!U144</f>
        <v>2</v>
      </c>
      <c r="U144" s="5">
        <f t="shared" si="46"/>
        <v>9</v>
      </c>
      <c r="V144" s="5" t="b">
        <f t="shared" si="47"/>
        <v>1</v>
      </c>
      <c r="W144" s="5" t="b">
        <f t="shared" si="48"/>
        <v>0</v>
      </c>
      <c r="X144" s="5">
        <f>Partidas!X144</f>
        <v>1</v>
      </c>
      <c r="Y144" s="5">
        <f>Partidas!Y144</f>
        <v>1</v>
      </c>
      <c r="Z144" s="5">
        <f>Partidas!AG144</f>
        <v>0</v>
      </c>
      <c r="AA144" s="5">
        <f>Partidas!AH144</f>
        <v>0</v>
      </c>
      <c r="AB144" s="5">
        <f t="shared" si="49"/>
        <v>2</v>
      </c>
      <c r="AC144" s="1" t="b">
        <f t="shared" si="50"/>
        <v>0</v>
      </c>
      <c r="AD144" s="1" t="b">
        <f t="shared" si="51"/>
        <v>0</v>
      </c>
      <c r="AE144" s="1" t="b">
        <f t="shared" si="52"/>
        <v>0</v>
      </c>
      <c r="AF144" s="1" t="str">
        <f>Partidas!W144</f>
        <v>ok</v>
      </c>
      <c r="AG144" s="1" t="str">
        <f>Partidas!AK144</f>
        <v>ok</v>
      </c>
      <c r="AH144" s="1" t="str">
        <f t="shared" si="53"/>
        <v>Fjelstul World Cup Database + FootyStats CSV</v>
      </c>
      <c r="AI144" s="1">
        <f>Partidas!AX144</f>
        <v>0</v>
      </c>
    </row>
    <row r="145" spans="1:35" ht="15" customHeight="1">
      <c r="A145" s="1" t="str">
        <f>Partidas!C145</f>
        <v>M-2014-16</v>
      </c>
      <c r="B145" s="4">
        <f>Partidas!F145</f>
        <v>41807</v>
      </c>
      <c r="C145" s="1">
        <f>Partidas!A145</f>
        <v>2014</v>
      </c>
      <c r="D145" s="1" t="str">
        <f>Partidas!H145</f>
        <v>Brazil</v>
      </c>
      <c r="E145" s="1" t="str">
        <f>Partidas!I145</f>
        <v>Mexico</v>
      </c>
      <c r="F145" s="5">
        <f>Partidas!J145</f>
        <v>0</v>
      </c>
      <c r="G145" s="5">
        <f>Partidas!K145</f>
        <v>0</v>
      </c>
      <c r="H145" s="1" t="str">
        <f>Partidas!M145</f>
        <v>D</v>
      </c>
      <c r="I145" s="5">
        <f t="shared" si="36"/>
        <v>0</v>
      </c>
      <c r="J145" s="1" t="b">
        <f t="shared" si="37"/>
        <v>0</v>
      </c>
      <c r="K145" s="1" t="b">
        <f t="shared" si="38"/>
        <v>0</v>
      </c>
      <c r="L145" s="1" t="b">
        <f t="shared" si="39"/>
        <v>0</v>
      </c>
      <c r="M145" s="1" t="b">
        <f t="shared" si="40"/>
        <v>1</v>
      </c>
      <c r="N145" s="1" t="b">
        <f t="shared" si="41"/>
        <v>1</v>
      </c>
      <c r="O145" s="1" t="b">
        <f t="shared" si="42"/>
        <v>0</v>
      </c>
      <c r="P145" s="1" t="b">
        <f t="shared" si="43"/>
        <v>1</v>
      </c>
      <c r="Q145" s="1" t="b">
        <f t="shared" si="44"/>
        <v>0</v>
      </c>
      <c r="R145" s="1" t="b">
        <f t="shared" si="45"/>
        <v>1</v>
      </c>
      <c r="S145" s="5">
        <f>Partidas!T145</f>
        <v>4</v>
      </c>
      <c r="T145" s="5">
        <f>Partidas!U145</f>
        <v>3</v>
      </c>
      <c r="U145" s="5">
        <f t="shared" si="46"/>
        <v>7</v>
      </c>
      <c r="V145" s="5" t="b">
        <f t="shared" si="47"/>
        <v>0</v>
      </c>
      <c r="W145" s="5" t="b">
        <f t="shared" si="48"/>
        <v>0</v>
      </c>
      <c r="X145" s="5">
        <f>Partidas!X145</f>
        <v>2</v>
      </c>
      <c r="Y145" s="5">
        <f>Partidas!Y145</f>
        <v>2</v>
      </c>
      <c r="Z145" s="5">
        <f>Partidas!AG145</f>
        <v>0</v>
      </c>
      <c r="AA145" s="5">
        <f>Partidas!AH145</f>
        <v>0</v>
      </c>
      <c r="AB145" s="5">
        <f t="shared" si="49"/>
        <v>4</v>
      </c>
      <c r="AC145" s="1" t="b">
        <f t="shared" si="50"/>
        <v>1</v>
      </c>
      <c r="AD145" s="1" t="b">
        <f t="shared" si="51"/>
        <v>0</v>
      </c>
      <c r="AE145" s="1" t="b">
        <f t="shared" si="52"/>
        <v>0</v>
      </c>
      <c r="AF145" s="1" t="str">
        <f>Partidas!W145</f>
        <v>ok</v>
      </c>
      <c r="AG145" s="1" t="str">
        <f>Partidas!AK145</f>
        <v>ok</v>
      </c>
      <c r="AH145" s="1" t="str">
        <f t="shared" si="53"/>
        <v>Fjelstul World Cup Database + FootyStats CSV</v>
      </c>
      <c r="AI145" s="1">
        <f>Partidas!AX145</f>
        <v>0</v>
      </c>
    </row>
    <row r="146" spans="1:35" ht="15" customHeight="1">
      <c r="A146" s="1" t="str">
        <f>Partidas!C146</f>
        <v>M-2014-17</v>
      </c>
      <c r="B146" s="4">
        <f>Partidas!F146</f>
        <v>41807</v>
      </c>
      <c r="C146" s="1">
        <f>Partidas!A146</f>
        <v>2014</v>
      </c>
      <c r="D146" s="1" t="str">
        <f>Partidas!H146</f>
        <v>Russia</v>
      </c>
      <c r="E146" s="1" t="str">
        <f>Partidas!I146</f>
        <v>South Korea</v>
      </c>
      <c r="F146" s="5">
        <f>Partidas!J146</f>
        <v>1</v>
      </c>
      <c r="G146" s="5">
        <f>Partidas!K146</f>
        <v>1</v>
      </c>
      <c r="H146" s="1" t="str">
        <f>Partidas!M146</f>
        <v>D</v>
      </c>
      <c r="I146" s="5">
        <f t="shared" si="36"/>
        <v>2</v>
      </c>
      <c r="J146" s="1" t="b">
        <f t="shared" si="37"/>
        <v>1</v>
      </c>
      <c r="K146" s="1" t="b">
        <f t="shared" si="38"/>
        <v>0</v>
      </c>
      <c r="L146" s="1" t="b">
        <f t="shared" si="39"/>
        <v>0</v>
      </c>
      <c r="M146" s="1" t="b">
        <f t="shared" si="40"/>
        <v>1</v>
      </c>
      <c r="N146" s="1" t="b">
        <f t="shared" si="41"/>
        <v>1</v>
      </c>
      <c r="O146" s="1" t="b">
        <f t="shared" si="42"/>
        <v>1</v>
      </c>
      <c r="P146" s="1" t="b">
        <f t="shared" si="43"/>
        <v>1</v>
      </c>
      <c r="Q146" s="1" t="b">
        <f t="shared" si="44"/>
        <v>0</v>
      </c>
      <c r="R146" s="1" t="b">
        <f t="shared" si="45"/>
        <v>1</v>
      </c>
      <c r="S146" s="5">
        <f>Partidas!T146</f>
        <v>4</v>
      </c>
      <c r="T146" s="5">
        <f>Partidas!U146</f>
        <v>4</v>
      </c>
      <c r="U146" s="5">
        <f t="shared" si="46"/>
        <v>8</v>
      </c>
      <c r="V146" s="5" t="b">
        <f t="shared" si="47"/>
        <v>0</v>
      </c>
      <c r="W146" s="5" t="b">
        <f t="shared" si="48"/>
        <v>0</v>
      </c>
      <c r="X146" s="5">
        <f>Partidas!X146</f>
        <v>1</v>
      </c>
      <c r="Y146" s="5">
        <f>Partidas!Y146</f>
        <v>3</v>
      </c>
      <c r="Z146" s="5">
        <f>Partidas!AG146</f>
        <v>0</v>
      </c>
      <c r="AA146" s="5">
        <f>Partidas!AH146</f>
        <v>0</v>
      </c>
      <c r="AB146" s="5">
        <f t="shared" si="49"/>
        <v>4</v>
      </c>
      <c r="AC146" s="1" t="b">
        <f t="shared" si="50"/>
        <v>1</v>
      </c>
      <c r="AD146" s="1" t="b">
        <f t="shared" si="51"/>
        <v>0</v>
      </c>
      <c r="AE146" s="1" t="b">
        <f t="shared" si="52"/>
        <v>0</v>
      </c>
      <c r="AF146" s="1" t="str">
        <f>Partidas!W146</f>
        <v>ok</v>
      </c>
      <c r="AG146" s="1" t="str">
        <f>Partidas!AK146</f>
        <v>ok</v>
      </c>
      <c r="AH146" s="1" t="str">
        <f t="shared" si="53"/>
        <v>Fjelstul World Cup Database + FootyStats CSV</v>
      </c>
      <c r="AI146" s="1">
        <f>Partidas!AX146</f>
        <v>0</v>
      </c>
    </row>
    <row r="147" spans="1:35" ht="15" customHeight="1">
      <c r="A147" s="1" t="str">
        <f>Partidas!C147</f>
        <v>M-2014-18</v>
      </c>
      <c r="B147" s="4">
        <f>Partidas!F147</f>
        <v>41808</v>
      </c>
      <c r="C147" s="1">
        <f>Partidas!A147</f>
        <v>2014</v>
      </c>
      <c r="D147" s="1" t="str">
        <f>Partidas!H147</f>
        <v>Australia</v>
      </c>
      <c r="E147" s="1" t="str">
        <f>Partidas!I147</f>
        <v>Netherlands</v>
      </c>
      <c r="F147" s="5">
        <f>Partidas!J147</f>
        <v>2</v>
      </c>
      <c r="G147" s="5">
        <f>Partidas!K147</f>
        <v>3</v>
      </c>
      <c r="H147" s="1" t="str">
        <f>Partidas!M147</f>
        <v>A</v>
      </c>
      <c r="I147" s="5">
        <f t="shared" si="36"/>
        <v>5</v>
      </c>
      <c r="J147" s="1" t="b">
        <f t="shared" si="37"/>
        <v>1</v>
      </c>
      <c r="K147" s="1" t="b">
        <f t="shared" si="38"/>
        <v>1</v>
      </c>
      <c r="L147" s="1" t="b">
        <f t="shared" si="39"/>
        <v>1</v>
      </c>
      <c r="M147" s="1" t="b">
        <f t="shared" si="40"/>
        <v>0</v>
      </c>
      <c r="N147" s="1" t="b">
        <f t="shared" si="41"/>
        <v>0</v>
      </c>
      <c r="O147" s="1" t="b">
        <f t="shared" si="42"/>
        <v>1</v>
      </c>
      <c r="P147" s="1" t="b">
        <f t="shared" si="43"/>
        <v>0</v>
      </c>
      <c r="Q147" s="1" t="b">
        <f t="shared" si="44"/>
        <v>1</v>
      </c>
      <c r="R147" s="1" t="b">
        <f t="shared" si="45"/>
        <v>1</v>
      </c>
      <c r="S147" s="5">
        <f>Partidas!T147</f>
        <v>3</v>
      </c>
      <c r="T147" s="5">
        <f>Partidas!U147</f>
        <v>2</v>
      </c>
      <c r="U147" s="5">
        <f t="shared" si="46"/>
        <v>5</v>
      </c>
      <c r="V147" s="5" t="b">
        <f t="shared" si="47"/>
        <v>0</v>
      </c>
      <c r="W147" s="5" t="b">
        <f t="shared" si="48"/>
        <v>0</v>
      </c>
      <c r="X147" s="5">
        <f>Partidas!X147</f>
        <v>1</v>
      </c>
      <c r="Y147" s="5">
        <f>Partidas!Y147</f>
        <v>1</v>
      </c>
      <c r="Z147" s="5">
        <f>Partidas!AG147</f>
        <v>0</v>
      </c>
      <c r="AA147" s="5">
        <f>Partidas!AH147</f>
        <v>0</v>
      </c>
      <c r="AB147" s="5">
        <f t="shared" si="49"/>
        <v>2</v>
      </c>
      <c r="AC147" s="1" t="b">
        <f t="shared" si="50"/>
        <v>0</v>
      </c>
      <c r="AD147" s="1" t="b">
        <f t="shared" si="51"/>
        <v>0</v>
      </c>
      <c r="AE147" s="1" t="b">
        <f t="shared" si="52"/>
        <v>0</v>
      </c>
      <c r="AF147" s="1" t="str">
        <f>Partidas!W147</f>
        <v>ok</v>
      </c>
      <c r="AG147" s="1" t="str">
        <f>Partidas!AK147</f>
        <v>ok</v>
      </c>
      <c r="AH147" s="1" t="str">
        <f t="shared" si="53"/>
        <v>Fjelstul World Cup Database + FootyStats CSV</v>
      </c>
      <c r="AI147" s="1">
        <f>Partidas!AX147</f>
        <v>0</v>
      </c>
    </row>
    <row r="148" spans="1:35" ht="15" customHeight="1">
      <c r="A148" s="1" t="str">
        <f>Partidas!C148</f>
        <v>M-2014-19</v>
      </c>
      <c r="B148" s="4">
        <f>Partidas!F148</f>
        <v>41808</v>
      </c>
      <c r="C148" s="1">
        <f>Partidas!A148</f>
        <v>2014</v>
      </c>
      <c r="D148" s="1" t="str">
        <f>Partidas!H148</f>
        <v>Spain</v>
      </c>
      <c r="E148" s="1" t="str">
        <f>Partidas!I148</f>
        <v>Chile</v>
      </c>
      <c r="F148" s="5">
        <f>Partidas!J148</f>
        <v>0</v>
      </c>
      <c r="G148" s="5">
        <f>Partidas!K148</f>
        <v>2</v>
      </c>
      <c r="H148" s="1" t="str">
        <f>Partidas!M148</f>
        <v>A</v>
      </c>
      <c r="I148" s="5">
        <f t="shared" si="36"/>
        <v>2</v>
      </c>
      <c r="J148" s="1" t="b">
        <f t="shared" si="37"/>
        <v>1</v>
      </c>
      <c r="K148" s="1" t="b">
        <f t="shared" si="38"/>
        <v>0</v>
      </c>
      <c r="L148" s="1" t="b">
        <f t="shared" si="39"/>
        <v>0</v>
      </c>
      <c r="M148" s="1" t="b">
        <f t="shared" si="40"/>
        <v>1</v>
      </c>
      <c r="N148" s="1" t="b">
        <f t="shared" si="41"/>
        <v>1</v>
      </c>
      <c r="O148" s="1" t="b">
        <f t="shared" si="42"/>
        <v>0</v>
      </c>
      <c r="P148" s="1" t="b">
        <f t="shared" si="43"/>
        <v>0</v>
      </c>
      <c r="Q148" s="1" t="b">
        <f t="shared" si="44"/>
        <v>1</v>
      </c>
      <c r="R148" s="1" t="b">
        <f t="shared" si="45"/>
        <v>1</v>
      </c>
      <c r="S148" s="5">
        <f>Partidas!T148</f>
        <v>7</v>
      </c>
      <c r="T148" s="5">
        <f>Partidas!U148</f>
        <v>1</v>
      </c>
      <c r="U148" s="5">
        <f t="shared" si="46"/>
        <v>8</v>
      </c>
      <c r="V148" s="5" t="b">
        <f t="shared" si="47"/>
        <v>0</v>
      </c>
      <c r="W148" s="5" t="b">
        <f t="shared" si="48"/>
        <v>0</v>
      </c>
      <c r="X148" s="5">
        <f>Partidas!X148</f>
        <v>1</v>
      </c>
      <c r="Y148" s="5">
        <f>Partidas!Y148</f>
        <v>2</v>
      </c>
      <c r="Z148" s="5">
        <f>Partidas!AG148</f>
        <v>0</v>
      </c>
      <c r="AA148" s="5">
        <f>Partidas!AH148</f>
        <v>0</v>
      </c>
      <c r="AB148" s="5">
        <f t="shared" si="49"/>
        <v>3</v>
      </c>
      <c r="AC148" s="1" t="b">
        <f t="shared" si="50"/>
        <v>0</v>
      </c>
      <c r="AD148" s="1" t="b">
        <f t="shared" si="51"/>
        <v>0</v>
      </c>
      <c r="AE148" s="1" t="b">
        <f t="shared" si="52"/>
        <v>0</v>
      </c>
      <c r="AF148" s="1" t="str">
        <f>Partidas!W148</f>
        <v>ok</v>
      </c>
      <c r="AG148" s="1" t="str">
        <f>Partidas!AK148</f>
        <v>ok</v>
      </c>
      <c r="AH148" s="1" t="str">
        <f t="shared" si="53"/>
        <v>Fjelstul World Cup Database + FootyStats CSV</v>
      </c>
      <c r="AI148" s="1">
        <f>Partidas!AX148</f>
        <v>0</v>
      </c>
    </row>
    <row r="149" spans="1:35" ht="15" customHeight="1">
      <c r="A149" s="1" t="str">
        <f>Partidas!C149</f>
        <v>M-2014-20</v>
      </c>
      <c r="B149" s="4">
        <f>Partidas!F149</f>
        <v>41808</v>
      </c>
      <c r="C149" s="1">
        <f>Partidas!A149</f>
        <v>2014</v>
      </c>
      <c r="D149" s="1" t="str">
        <f>Partidas!H149</f>
        <v>Cameroon</v>
      </c>
      <c r="E149" s="1" t="str">
        <f>Partidas!I149</f>
        <v>Croatia</v>
      </c>
      <c r="F149" s="5">
        <f>Partidas!J149</f>
        <v>0</v>
      </c>
      <c r="G149" s="5">
        <f>Partidas!K149</f>
        <v>4</v>
      </c>
      <c r="H149" s="1" t="str">
        <f>Partidas!M149</f>
        <v>A</v>
      </c>
      <c r="I149" s="5">
        <f t="shared" si="36"/>
        <v>4</v>
      </c>
      <c r="J149" s="1" t="b">
        <f t="shared" si="37"/>
        <v>1</v>
      </c>
      <c r="K149" s="1" t="b">
        <f t="shared" si="38"/>
        <v>1</v>
      </c>
      <c r="L149" s="1" t="b">
        <f t="shared" si="39"/>
        <v>1</v>
      </c>
      <c r="M149" s="1" t="b">
        <f t="shared" si="40"/>
        <v>0</v>
      </c>
      <c r="N149" s="1" t="b">
        <f t="shared" si="41"/>
        <v>0</v>
      </c>
      <c r="O149" s="1" t="b">
        <f t="shared" si="42"/>
        <v>0</v>
      </c>
      <c r="P149" s="1" t="b">
        <f t="shared" si="43"/>
        <v>0</v>
      </c>
      <c r="Q149" s="1" t="b">
        <f t="shared" si="44"/>
        <v>1</v>
      </c>
      <c r="R149" s="1" t="b">
        <f t="shared" si="45"/>
        <v>1</v>
      </c>
      <c r="S149" s="5">
        <f>Partidas!T149</f>
        <v>4</v>
      </c>
      <c r="T149" s="5">
        <f>Partidas!U149</f>
        <v>7</v>
      </c>
      <c r="U149" s="5">
        <f t="shared" si="46"/>
        <v>11</v>
      </c>
      <c r="V149" s="5" t="b">
        <f t="shared" si="47"/>
        <v>1</v>
      </c>
      <c r="W149" s="5" t="b">
        <f t="shared" si="48"/>
        <v>1</v>
      </c>
      <c r="X149" s="5">
        <f>Partidas!X149</f>
        <v>0</v>
      </c>
      <c r="Y149" s="5">
        <f>Partidas!Y149</f>
        <v>1</v>
      </c>
      <c r="Z149" s="5">
        <f>Partidas!AG149</f>
        <v>1</v>
      </c>
      <c r="AA149" s="5">
        <f>Partidas!AH149</f>
        <v>0</v>
      </c>
      <c r="AB149" s="5">
        <f t="shared" si="49"/>
        <v>2</v>
      </c>
      <c r="AC149" s="1" t="b">
        <f t="shared" si="50"/>
        <v>0</v>
      </c>
      <c r="AD149" s="1" t="b">
        <f t="shared" si="51"/>
        <v>0</v>
      </c>
      <c r="AE149" s="1" t="b">
        <f t="shared" si="52"/>
        <v>0</v>
      </c>
      <c r="AF149" s="1" t="str">
        <f>Partidas!W149</f>
        <v>ok</v>
      </c>
      <c r="AG149" s="1" t="str">
        <f>Partidas!AK149</f>
        <v>ok</v>
      </c>
      <c r="AH149" s="1" t="str">
        <f t="shared" si="53"/>
        <v>Fjelstul World Cup Database + FootyStats CSV</v>
      </c>
      <c r="AI149" s="1">
        <f>Partidas!AX149</f>
        <v>0</v>
      </c>
    </row>
    <row r="150" spans="1:35" ht="15" customHeight="1">
      <c r="A150" s="1" t="str">
        <f>Partidas!C150</f>
        <v>M-2014-21</v>
      </c>
      <c r="B150" s="4">
        <f>Partidas!F150</f>
        <v>41809</v>
      </c>
      <c r="C150" s="1">
        <f>Partidas!A150</f>
        <v>2014</v>
      </c>
      <c r="D150" s="1" t="str">
        <f>Partidas!H150</f>
        <v>Colombia</v>
      </c>
      <c r="E150" s="1" t="str">
        <f>Partidas!I150</f>
        <v>Ivory Coast</v>
      </c>
      <c r="F150" s="5">
        <f>Partidas!J150</f>
        <v>2</v>
      </c>
      <c r="G150" s="5">
        <f>Partidas!K150</f>
        <v>1</v>
      </c>
      <c r="H150" s="1" t="str">
        <f>Partidas!M150</f>
        <v>H</v>
      </c>
      <c r="I150" s="5">
        <f t="shared" si="36"/>
        <v>3</v>
      </c>
      <c r="J150" s="1" t="b">
        <f t="shared" si="37"/>
        <v>1</v>
      </c>
      <c r="K150" s="1" t="b">
        <f t="shared" si="38"/>
        <v>1</v>
      </c>
      <c r="L150" s="1" t="b">
        <f t="shared" si="39"/>
        <v>0</v>
      </c>
      <c r="M150" s="1" t="b">
        <f t="shared" si="40"/>
        <v>0</v>
      </c>
      <c r="N150" s="1" t="b">
        <f t="shared" si="41"/>
        <v>1</v>
      </c>
      <c r="O150" s="1" t="b">
        <f t="shared" si="42"/>
        <v>1</v>
      </c>
      <c r="P150" s="1" t="b">
        <f t="shared" si="43"/>
        <v>1</v>
      </c>
      <c r="Q150" s="1" t="b">
        <f t="shared" si="44"/>
        <v>1</v>
      </c>
      <c r="R150" s="1" t="b">
        <f t="shared" si="45"/>
        <v>0</v>
      </c>
      <c r="S150" s="5">
        <f>Partidas!T150</f>
        <v>5</v>
      </c>
      <c r="T150" s="5">
        <f>Partidas!U150</f>
        <v>5</v>
      </c>
      <c r="U150" s="5">
        <f t="shared" si="46"/>
        <v>10</v>
      </c>
      <c r="V150" s="5" t="b">
        <f t="shared" si="47"/>
        <v>1</v>
      </c>
      <c r="W150" s="5" t="b">
        <f t="shared" si="48"/>
        <v>1</v>
      </c>
      <c r="X150" s="5">
        <f>Partidas!X150</f>
        <v>0</v>
      </c>
      <c r="Y150" s="5">
        <f>Partidas!Y150</f>
        <v>2</v>
      </c>
      <c r="Z150" s="5">
        <f>Partidas!AG150</f>
        <v>0</v>
      </c>
      <c r="AA150" s="5">
        <f>Partidas!AH150</f>
        <v>0</v>
      </c>
      <c r="AB150" s="5">
        <f t="shared" si="49"/>
        <v>2</v>
      </c>
      <c r="AC150" s="1" t="b">
        <f t="shared" si="50"/>
        <v>0</v>
      </c>
      <c r="AD150" s="1" t="b">
        <f t="shared" si="51"/>
        <v>0</v>
      </c>
      <c r="AE150" s="1" t="b">
        <f t="shared" si="52"/>
        <v>0</v>
      </c>
      <c r="AF150" s="1" t="str">
        <f>Partidas!W150</f>
        <v>ok</v>
      </c>
      <c r="AG150" s="1" t="str">
        <f>Partidas!AK150</f>
        <v>ok</v>
      </c>
      <c r="AH150" s="1" t="str">
        <f t="shared" si="53"/>
        <v>Fjelstul World Cup Database + FootyStats CSV</v>
      </c>
      <c r="AI150" s="1">
        <f>Partidas!AX150</f>
        <v>0</v>
      </c>
    </row>
    <row r="151" spans="1:35" ht="15" customHeight="1">
      <c r="A151" s="1" t="str">
        <f>Partidas!C151</f>
        <v>M-2014-22</v>
      </c>
      <c r="B151" s="4">
        <f>Partidas!F151</f>
        <v>41809</v>
      </c>
      <c r="C151" s="1">
        <f>Partidas!A151</f>
        <v>2014</v>
      </c>
      <c r="D151" s="1" t="str">
        <f>Partidas!H151</f>
        <v>Uruguay</v>
      </c>
      <c r="E151" s="1" t="str">
        <f>Partidas!I151</f>
        <v>England</v>
      </c>
      <c r="F151" s="5">
        <f>Partidas!J151</f>
        <v>2</v>
      </c>
      <c r="G151" s="5">
        <f>Partidas!K151</f>
        <v>1</v>
      </c>
      <c r="H151" s="1" t="str">
        <f>Partidas!M151</f>
        <v>H</v>
      </c>
      <c r="I151" s="5">
        <f t="shared" si="36"/>
        <v>3</v>
      </c>
      <c r="J151" s="1" t="b">
        <f t="shared" si="37"/>
        <v>1</v>
      </c>
      <c r="K151" s="1" t="b">
        <f t="shared" si="38"/>
        <v>1</v>
      </c>
      <c r="L151" s="1" t="b">
        <f t="shared" si="39"/>
        <v>0</v>
      </c>
      <c r="M151" s="1" t="b">
        <f t="shared" si="40"/>
        <v>0</v>
      </c>
      <c r="N151" s="1" t="b">
        <f t="shared" si="41"/>
        <v>1</v>
      </c>
      <c r="O151" s="1" t="b">
        <f t="shared" si="42"/>
        <v>1</v>
      </c>
      <c r="P151" s="1" t="b">
        <f t="shared" si="43"/>
        <v>1</v>
      </c>
      <c r="Q151" s="1" t="b">
        <f t="shared" si="44"/>
        <v>1</v>
      </c>
      <c r="R151" s="1" t="b">
        <f t="shared" si="45"/>
        <v>0</v>
      </c>
      <c r="S151" s="5">
        <f>Partidas!T151</f>
        <v>7</v>
      </c>
      <c r="T151" s="5">
        <f>Partidas!U151</f>
        <v>6</v>
      </c>
      <c r="U151" s="5">
        <f t="shared" si="46"/>
        <v>13</v>
      </c>
      <c r="V151" s="5" t="b">
        <f t="shared" si="47"/>
        <v>1</v>
      </c>
      <c r="W151" s="5" t="b">
        <f t="shared" si="48"/>
        <v>1</v>
      </c>
      <c r="X151" s="5">
        <f>Partidas!X151</f>
        <v>1</v>
      </c>
      <c r="Y151" s="5">
        <f>Partidas!Y151</f>
        <v>1</v>
      </c>
      <c r="Z151" s="5">
        <f>Partidas!AG151</f>
        <v>0</v>
      </c>
      <c r="AA151" s="5">
        <f>Partidas!AH151</f>
        <v>0</v>
      </c>
      <c r="AB151" s="5">
        <f t="shared" si="49"/>
        <v>2</v>
      </c>
      <c r="AC151" s="1" t="b">
        <f t="shared" si="50"/>
        <v>0</v>
      </c>
      <c r="AD151" s="1" t="b">
        <f t="shared" si="51"/>
        <v>0</v>
      </c>
      <c r="AE151" s="1" t="b">
        <f t="shared" si="52"/>
        <v>0</v>
      </c>
      <c r="AF151" s="1" t="str">
        <f>Partidas!W151</f>
        <v>ok</v>
      </c>
      <c r="AG151" s="1" t="str">
        <f>Partidas!AK151</f>
        <v>ok</v>
      </c>
      <c r="AH151" s="1" t="str">
        <f t="shared" si="53"/>
        <v>Fjelstul World Cup Database + FootyStats CSV</v>
      </c>
      <c r="AI151" s="1">
        <f>Partidas!AX151</f>
        <v>0</v>
      </c>
    </row>
    <row r="152" spans="1:35" ht="15" customHeight="1">
      <c r="A152" s="1" t="str">
        <f>Partidas!C152</f>
        <v>M-2014-23</v>
      </c>
      <c r="B152" s="4">
        <f>Partidas!F152</f>
        <v>41809</v>
      </c>
      <c r="C152" s="1">
        <f>Partidas!A152</f>
        <v>2014</v>
      </c>
      <c r="D152" s="1" t="str">
        <f>Partidas!H152</f>
        <v>Japan</v>
      </c>
      <c r="E152" s="1" t="str">
        <f>Partidas!I152</f>
        <v>Greece</v>
      </c>
      <c r="F152" s="5">
        <f>Partidas!J152</f>
        <v>0</v>
      </c>
      <c r="G152" s="5">
        <f>Partidas!K152</f>
        <v>0</v>
      </c>
      <c r="H152" s="1" t="str">
        <f>Partidas!M152</f>
        <v>D</v>
      </c>
      <c r="I152" s="5">
        <f t="shared" si="36"/>
        <v>0</v>
      </c>
      <c r="J152" s="1" t="b">
        <f t="shared" si="37"/>
        <v>0</v>
      </c>
      <c r="K152" s="1" t="b">
        <f t="shared" si="38"/>
        <v>0</v>
      </c>
      <c r="L152" s="1" t="b">
        <f t="shared" si="39"/>
        <v>0</v>
      </c>
      <c r="M152" s="1" t="b">
        <f t="shared" si="40"/>
        <v>1</v>
      </c>
      <c r="N152" s="1" t="b">
        <f t="shared" si="41"/>
        <v>1</v>
      </c>
      <c r="O152" s="1" t="b">
        <f t="shared" si="42"/>
        <v>0</v>
      </c>
      <c r="P152" s="1" t="b">
        <f t="shared" si="43"/>
        <v>1</v>
      </c>
      <c r="Q152" s="1" t="b">
        <f t="shared" si="44"/>
        <v>0</v>
      </c>
      <c r="R152" s="1" t="b">
        <f t="shared" si="45"/>
        <v>1</v>
      </c>
      <c r="S152" s="5">
        <f>Partidas!T152</f>
        <v>5</v>
      </c>
      <c r="T152" s="5">
        <f>Partidas!U152</f>
        <v>7</v>
      </c>
      <c r="U152" s="5">
        <f t="shared" si="46"/>
        <v>12</v>
      </c>
      <c r="V152" s="5" t="b">
        <f t="shared" si="47"/>
        <v>1</v>
      </c>
      <c r="W152" s="5" t="b">
        <f t="shared" si="48"/>
        <v>1</v>
      </c>
      <c r="X152" s="5">
        <f>Partidas!X152</f>
        <v>1</v>
      </c>
      <c r="Y152" s="5">
        <f>Partidas!Y152</f>
        <v>3</v>
      </c>
      <c r="Z152" s="5">
        <f>Partidas!AG152</f>
        <v>0</v>
      </c>
      <c r="AA152" s="5">
        <f>Partidas!AH152</f>
        <v>1</v>
      </c>
      <c r="AB152" s="5">
        <f t="shared" si="49"/>
        <v>5</v>
      </c>
      <c r="AC152" s="1" t="b">
        <f t="shared" si="50"/>
        <v>1</v>
      </c>
      <c r="AD152" s="1" t="b">
        <f t="shared" si="51"/>
        <v>1</v>
      </c>
      <c r="AE152" s="1" t="b">
        <f t="shared" si="52"/>
        <v>0</v>
      </c>
      <c r="AF152" s="1" t="str">
        <f>Partidas!W152</f>
        <v>ok</v>
      </c>
      <c r="AG152" s="1" t="str">
        <f>Partidas!AK152</f>
        <v>ok</v>
      </c>
      <c r="AH152" s="1" t="str">
        <f t="shared" si="53"/>
        <v>Fjelstul World Cup Database + FootyStats CSV</v>
      </c>
      <c r="AI152" s="1">
        <f>Partidas!AX152</f>
        <v>0</v>
      </c>
    </row>
    <row r="153" spans="1:35" ht="15" customHeight="1">
      <c r="A153" s="1" t="str">
        <f>Partidas!C153</f>
        <v>M-2014-24</v>
      </c>
      <c r="B153" s="4">
        <f>Partidas!F153</f>
        <v>41810</v>
      </c>
      <c r="C153" s="1">
        <f>Partidas!A153</f>
        <v>2014</v>
      </c>
      <c r="D153" s="1" t="str">
        <f>Partidas!H153</f>
        <v>Italy</v>
      </c>
      <c r="E153" s="1" t="str">
        <f>Partidas!I153</f>
        <v>Costa Rica</v>
      </c>
      <c r="F153" s="5">
        <f>Partidas!J153</f>
        <v>0</v>
      </c>
      <c r="G153" s="5">
        <f>Partidas!K153</f>
        <v>1</v>
      </c>
      <c r="H153" s="1" t="str">
        <f>Partidas!M153</f>
        <v>A</v>
      </c>
      <c r="I153" s="5">
        <f t="shared" si="36"/>
        <v>1</v>
      </c>
      <c r="J153" s="1" t="b">
        <f t="shared" si="37"/>
        <v>0</v>
      </c>
      <c r="K153" s="1" t="b">
        <f t="shared" si="38"/>
        <v>0</v>
      </c>
      <c r="L153" s="1" t="b">
        <f t="shared" si="39"/>
        <v>0</v>
      </c>
      <c r="M153" s="1" t="b">
        <f t="shared" si="40"/>
        <v>1</v>
      </c>
      <c r="N153" s="1" t="b">
        <f t="shared" si="41"/>
        <v>1</v>
      </c>
      <c r="O153" s="1" t="b">
        <f t="shared" si="42"/>
        <v>0</v>
      </c>
      <c r="P153" s="1" t="b">
        <f t="shared" si="43"/>
        <v>0</v>
      </c>
      <c r="Q153" s="1" t="b">
        <f t="shared" si="44"/>
        <v>1</v>
      </c>
      <c r="R153" s="1" t="b">
        <f t="shared" si="45"/>
        <v>1</v>
      </c>
      <c r="S153" s="5">
        <f>Partidas!T153</f>
        <v>4</v>
      </c>
      <c r="T153" s="5">
        <f>Partidas!U153</f>
        <v>5</v>
      </c>
      <c r="U153" s="5">
        <f t="shared" si="46"/>
        <v>9</v>
      </c>
      <c r="V153" s="5" t="b">
        <f t="shared" si="47"/>
        <v>1</v>
      </c>
      <c r="W153" s="5" t="b">
        <f t="shared" si="48"/>
        <v>0</v>
      </c>
      <c r="X153" s="5">
        <f>Partidas!X153</f>
        <v>1</v>
      </c>
      <c r="Y153" s="5">
        <f>Partidas!Y153</f>
        <v>1</v>
      </c>
      <c r="Z153" s="5">
        <f>Partidas!AG153</f>
        <v>0</v>
      </c>
      <c r="AA153" s="5">
        <f>Partidas!AH153</f>
        <v>0</v>
      </c>
      <c r="AB153" s="5">
        <f t="shared" si="49"/>
        <v>2</v>
      </c>
      <c r="AC153" s="1" t="b">
        <f t="shared" si="50"/>
        <v>0</v>
      </c>
      <c r="AD153" s="1" t="b">
        <f t="shared" si="51"/>
        <v>0</v>
      </c>
      <c r="AE153" s="1" t="b">
        <f t="shared" si="52"/>
        <v>0</v>
      </c>
      <c r="AF153" s="1" t="str">
        <f>Partidas!W153</f>
        <v>ok</v>
      </c>
      <c r="AG153" s="1" t="str">
        <f>Partidas!AK153</f>
        <v>ok</v>
      </c>
      <c r="AH153" s="1" t="str">
        <f t="shared" si="53"/>
        <v>Fjelstul World Cup Database + FootyStats CSV</v>
      </c>
      <c r="AI153" s="1">
        <f>Partidas!AX153</f>
        <v>0</v>
      </c>
    </row>
    <row r="154" spans="1:35" ht="15" customHeight="1">
      <c r="A154" s="1" t="str">
        <f>Partidas!C154</f>
        <v>M-2014-25</v>
      </c>
      <c r="B154" s="4">
        <f>Partidas!F154</f>
        <v>41810</v>
      </c>
      <c r="C154" s="1">
        <f>Partidas!A154</f>
        <v>2014</v>
      </c>
      <c r="D154" s="1" t="str">
        <f>Partidas!H154</f>
        <v>Switzerland</v>
      </c>
      <c r="E154" s="1" t="str">
        <f>Partidas!I154</f>
        <v>France</v>
      </c>
      <c r="F154" s="5">
        <f>Partidas!J154</f>
        <v>2</v>
      </c>
      <c r="G154" s="5">
        <f>Partidas!K154</f>
        <v>5</v>
      </c>
      <c r="H154" s="1" t="str">
        <f>Partidas!M154</f>
        <v>A</v>
      </c>
      <c r="I154" s="5">
        <f t="shared" si="36"/>
        <v>7</v>
      </c>
      <c r="J154" s="1" t="b">
        <f t="shared" si="37"/>
        <v>1</v>
      </c>
      <c r="K154" s="1" t="b">
        <f t="shared" si="38"/>
        <v>1</v>
      </c>
      <c r="L154" s="1" t="b">
        <f t="shared" si="39"/>
        <v>1</v>
      </c>
      <c r="M154" s="1" t="b">
        <f t="shared" si="40"/>
        <v>0</v>
      </c>
      <c r="N154" s="1" t="b">
        <f t="shared" si="41"/>
        <v>0</v>
      </c>
      <c r="O154" s="1" t="b">
        <f t="shared" si="42"/>
        <v>1</v>
      </c>
      <c r="P154" s="1" t="b">
        <f t="shared" si="43"/>
        <v>0</v>
      </c>
      <c r="Q154" s="1" t="b">
        <f t="shared" si="44"/>
        <v>1</v>
      </c>
      <c r="R154" s="1" t="b">
        <f t="shared" si="45"/>
        <v>1</v>
      </c>
      <c r="S154" s="5">
        <f>Partidas!T154</f>
        <v>5</v>
      </c>
      <c r="T154" s="5">
        <f>Partidas!U154</f>
        <v>3</v>
      </c>
      <c r="U154" s="5">
        <f t="shared" si="46"/>
        <v>8</v>
      </c>
      <c r="V154" s="5" t="b">
        <f t="shared" si="47"/>
        <v>0</v>
      </c>
      <c r="W154" s="5" t="b">
        <f t="shared" si="48"/>
        <v>0</v>
      </c>
      <c r="X154" s="5">
        <f>Partidas!X154</f>
        <v>0</v>
      </c>
      <c r="Y154" s="5">
        <f>Partidas!Y154</f>
        <v>1</v>
      </c>
      <c r="Z154" s="5">
        <f>Partidas!AG154</f>
        <v>0</v>
      </c>
      <c r="AA154" s="5">
        <f>Partidas!AH154</f>
        <v>0</v>
      </c>
      <c r="AB154" s="5">
        <f t="shared" si="49"/>
        <v>1</v>
      </c>
      <c r="AC154" s="1" t="b">
        <f t="shared" si="50"/>
        <v>0</v>
      </c>
      <c r="AD154" s="1" t="b">
        <f t="shared" si="51"/>
        <v>0</v>
      </c>
      <c r="AE154" s="1" t="b">
        <f t="shared" si="52"/>
        <v>0</v>
      </c>
      <c r="AF154" s="1" t="str">
        <f>Partidas!W154</f>
        <v>ok</v>
      </c>
      <c r="AG154" s="1" t="str">
        <f>Partidas!AK154</f>
        <v>ok</v>
      </c>
      <c r="AH154" s="1" t="str">
        <f t="shared" si="53"/>
        <v>Fjelstul World Cup Database + FootyStats CSV</v>
      </c>
      <c r="AI154" s="1">
        <f>Partidas!AX154</f>
        <v>0</v>
      </c>
    </row>
    <row r="155" spans="1:35" ht="15" customHeight="1">
      <c r="A155" s="1" t="str">
        <f>Partidas!C155</f>
        <v>M-2014-26</v>
      </c>
      <c r="B155" s="4">
        <f>Partidas!F155</f>
        <v>41810</v>
      </c>
      <c r="C155" s="1">
        <f>Partidas!A155</f>
        <v>2014</v>
      </c>
      <c r="D155" s="1" t="str">
        <f>Partidas!H155</f>
        <v>Honduras</v>
      </c>
      <c r="E155" s="1" t="str">
        <f>Partidas!I155</f>
        <v>Ecuador</v>
      </c>
      <c r="F155" s="5">
        <f>Partidas!J155</f>
        <v>1</v>
      </c>
      <c r="G155" s="5">
        <f>Partidas!K155</f>
        <v>2</v>
      </c>
      <c r="H155" s="1" t="str">
        <f>Partidas!M155</f>
        <v>A</v>
      </c>
      <c r="I155" s="5">
        <f t="shared" si="36"/>
        <v>3</v>
      </c>
      <c r="J155" s="1" t="b">
        <f t="shared" si="37"/>
        <v>1</v>
      </c>
      <c r="K155" s="1" t="b">
        <f t="shared" si="38"/>
        <v>1</v>
      </c>
      <c r="L155" s="1" t="b">
        <f t="shared" si="39"/>
        <v>0</v>
      </c>
      <c r="M155" s="1" t="b">
        <f t="shared" si="40"/>
        <v>0</v>
      </c>
      <c r="N155" s="1" t="b">
        <f t="shared" si="41"/>
        <v>1</v>
      </c>
      <c r="O155" s="1" t="b">
        <f t="shared" si="42"/>
        <v>1</v>
      </c>
      <c r="P155" s="1" t="b">
        <f t="shared" si="43"/>
        <v>0</v>
      </c>
      <c r="Q155" s="1" t="b">
        <f t="shared" si="44"/>
        <v>1</v>
      </c>
      <c r="R155" s="1" t="b">
        <f t="shared" si="45"/>
        <v>1</v>
      </c>
      <c r="S155" s="5">
        <f>Partidas!T155</f>
        <v>4</v>
      </c>
      <c r="T155" s="5">
        <f>Partidas!U155</f>
        <v>12</v>
      </c>
      <c r="U155" s="5">
        <f t="shared" si="46"/>
        <v>16</v>
      </c>
      <c r="V155" s="5" t="b">
        <f t="shared" si="47"/>
        <v>1</v>
      </c>
      <c r="W155" s="5" t="b">
        <f t="shared" si="48"/>
        <v>1</v>
      </c>
      <c r="X155" s="5">
        <f>Partidas!X155</f>
        <v>2</v>
      </c>
      <c r="Y155" s="5">
        <f>Partidas!Y155</f>
        <v>3</v>
      </c>
      <c r="Z155" s="5">
        <f>Partidas!AG155</f>
        <v>0</v>
      </c>
      <c r="AA155" s="5">
        <f>Partidas!AH155</f>
        <v>0</v>
      </c>
      <c r="AB155" s="5">
        <f t="shared" si="49"/>
        <v>5</v>
      </c>
      <c r="AC155" s="1" t="b">
        <f t="shared" si="50"/>
        <v>1</v>
      </c>
      <c r="AD155" s="1" t="b">
        <f t="shared" si="51"/>
        <v>1</v>
      </c>
      <c r="AE155" s="1" t="b">
        <f t="shared" si="52"/>
        <v>0</v>
      </c>
      <c r="AF155" s="1" t="str">
        <f>Partidas!W155</f>
        <v>ok</v>
      </c>
      <c r="AG155" s="1" t="str">
        <f>Partidas!AK155</f>
        <v>ok</v>
      </c>
      <c r="AH155" s="1" t="str">
        <f t="shared" si="53"/>
        <v>Fjelstul World Cup Database + FootyStats CSV</v>
      </c>
      <c r="AI155" s="1">
        <f>Partidas!AX155</f>
        <v>0</v>
      </c>
    </row>
    <row r="156" spans="1:35" ht="15" customHeight="1">
      <c r="A156" s="1" t="str">
        <f>Partidas!C156</f>
        <v>M-2014-27</v>
      </c>
      <c r="B156" s="4">
        <f>Partidas!F156</f>
        <v>41811</v>
      </c>
      <c r="C156" s="1">
        <f>Partidas!A156</f>
        <v>2014</v>
      </c>
      <c r="D156" s="1" t="str">
        <f>Partidas!H156</f>
        <v>Argentina</v>
      </c>
      <c r="E156" s="1" t="str">
        <f>Partidas!I156</f>
        <v>Iran</v>
      </c>
      <c r="F156" s="5">
        <f>Partidas!J156</f>
        <v>1</v>
      </c>
      <c r="G156" s="5">
        <f>Partidas!K156</f>
        <v>0</v>
      </c>
      <c r="H156" s="1" t="str">
        <f>Partidas!M156</f>
        <v>H</v>
      </c>
      <c r="I156" s="5">
        <f t="shared" si="36"/>
        <v>1</v>
      </c>
      <c r="J156" s="1" t="b">
        <f t="shared" si="37"/>
        <v>0</v>
      </c>
      <c r="K156" s="1" t="b">
        <f t="shared" si="38"/>
        <v>0</v>
      </c>
      <c r="L156" s="1" t="b">
        <f t="shared" si="39"/>
        <v>0</v>
      </c>
      <c r="M156" s="1" t="b">
        <f t="shared" si="40"/>
        <v>1</v>
      </c>
      <c r="N156" s="1" t="b">
        <f t="shared" si="41"/>
        <v>1</v>
      </c>
      <c r="O156" s="1" t="b">
        <f t="shared" si="42"/>
        <v>0</v>
      </c>
      <c r="P156" s="1" t="b">
        <f t="shared" si="43"/>
        <v>1</v>
      </c>
      <c r="Q156" s="1" t="b">
        <f t="shared" si="44"/>
        <v>1</v>
      </c>
      <c r="R156" s="1" t="b">
        <f t="shared" si="45"/>
        <v>0</v>
      </c>
      <c r="S156" s="5">
        <f>Partidas!T156</f>
        <v>10</v>
      </c>
      <c r="T156" s="5">
        <f>Partidas!U156</f>
        <v>6</v>
      </c>
      <c r="U156" s="5">
        <f t="shared" si="46"/>
        <v>16</v>
      </c>
      <c r="V156" s="5" t="b">
        <f t="shared" si="47"/>
        <v>1</v>
      </c>
      <c r="W156" s="5" t="b">
        <f t="shared" si="48"/>
        <v>1</v>
      </c>
      <c r="X156" s="5">
        <f>Partidas!X156</f>
        <v>0</v>
      </c>
      <c r="Y156" s="5">
        <f>Partidas!Y156</f>
        <v>2</v>
      </c>
      <c r="Z156" s="5">
        <f>Partidas!AG156</f>
        <v>0</v>
      </c>
      <c r="AA156" s="5">
        <f>Partidas!AH156</f>
        <v>0</v>
      </c>
      <c r="AB156" s="5">
        <f t="shared" si="49"/>
        <v>2</v>
      </c>
      <c r="AC156" s="1" t="b">
        <f t="shared" si="50"/>
        <v>0</v>
      </c>
      <c r="AD156" s="1" t="b">
        <f t="shared" si="51"/>
        <v>0</v>
      </c>
      <c r="AE156" s="1" t="b">
        <f t="shared" si="52"/>
        <v>0</v>
      </c>
      <c r="AF156" s="1" t="str">
        <f>Partidas!W156</f>
        <v>ok</v>
      </c>
      <c r="AG156" s="1" t="str">
        <f>Partidas!AK156</f>
        <v>ok</v>
      </c>
      <c r="AH156" s="1" t="str">
        <f t="shared" si="53"/>
        <v>Fjelstul World Cup Database + FootyStats CSV</v>
      </c>
      <c r="AI156" s="1">
        <f>Partidas!AX156</f>
        <v>0</v>
      </c>
    </row>
    <row r="157" spans="1:35" ht="15" customHeight="1">
      <c r="A157" s="1" t="str">
        <f>Partidas!C157</f>
        <v>M-2014-28</v>
      </c>
      <c r="B157" s="4">
        <f>Partidas!F157</f>
        <v>41811</v>
      </c>
      <c r="C157" s="1">
        <f>Partidas!A157</f>
        <v>2014</v>
      </c>
      <c r="D157" s="1" t="str">
        <f>Partidas!H157</f>
        <v>Germany</v>
      </c>
      <c r="E157" s="1" t="str">
        <f>Partidas!I157</f>
        <v>Ghana</v>
      </c>
      <c r="F157" s="5">
        <f>Partidas!J157</f>
        <v>2</v>
      </c>
      <c r="G157" s="5">
        <f>Partidas!K157</f>
        <v>2</v>
      </c>
      <c r="H157" s="1" t="str">
        <f>Partidas!M157</f>
        <v>D</v>
      </c>
      <c r="I157" s="5">
        <f t="shared" si="36"/>
        <v>4</v>
      </c>
      <c r="J157" s="1" t="b">
        <f t="shared" si="37"/>
        <v>1</v>
      </c>
      <c r="K157" s="1" t="b">
        <f t="shared" si="38"/>
        <v>1</v>
      </c>
      <c r="L157" s="1" t="b">
        <f t="shared" si="39"/>
        <v>1</v>
      </c>
      <c r="M157" s="1" t="b">
        <f t="shared" si="40"/>
        <v>0</v>
      </c>
      <c r="N157" s="1" t="b">
        <f t="shared" si="41"/>
        <v>0</v>
      </c>
      <c r="O157" s="1" t="b">
        <f t="shared" si="42"/>
        <v>1</v>
      </c>
      <c r="P157" s="1" t="b">
        <f t="shared" si="43"/>
        <v>1</v>
      </c>
      <c r="Q157" s="1" t="b">
        <f t="shared" si="44"/>
        <v>0</v>
      </c>
      <c r="R157" s="1" t="b">
        <f t="shared" si="45"/>
        <v>1</v>
      </c>
      <c r="S157" s="5">
        <f>Partidas!T157</f>
        <v>7</v>
      </c>
      <c r="T157" s="5">
        <f>Partidas!U157</f>
        <v>3</v>
      </c>
      <c r="U157" s="5">
        <f t="shared" si="46"/>
        <v>10</v>
      </c>
      <c r="V157" s="5" t="b">
        <f t="shared" si="47"/>
        <v>1</v>
      </c>
      <c r="W157" s="5" t="b">
        <f t="shared" si="48"/>
        <v>1</v>
      </c>
      <c r="X157" s="5">
        <f>Partidas!X157</f>
        <v>0</v>
      </c>
      <c r="Y157" s="5">
        <f>Partidas!Y157</f>
        <v>1</v>
      </c>
      <c r="Z157" s="5">
        <f>Partidas!AG157</f>
        <v>0</v>
      </c>
      <c r="AA157" s="5">
        <f>Partidas!AH157</f>
        <v>0</v>
      </c>
      <c r="AB157" s="5">
        <f t="shared" si="49"/>
        <v>1</v>
      </c>
      <c r="AC157" s="1" t="b">
        <f t="shared" si="50"/>
        <v>0</v>
      </c>
      <c r="AD157" s="1" t="b">
        <f t="shared" si="51"/>
        <v>0</v>
      </c>
      <c r="AE157" s="1" t="b">
        <f t="shared" si="52"/>
        <v>0</v>
      </c>
      <c r="AF157" s="1" t="str">
        <f>Partidas!W157</f>
        <v>ok</v>
      </c>
      <c r="AG157" s="1" t="str">
        <f>Partidas!AK157</f>
        <v>ok</v>
      </c>
      <c r="AH157" s="1" t="str">
        <f t="shared" si="53"/>
        <v>Fjelstul World Cup Database + FootyStats CSV</v>
      </c>
      <c r="AI157" s="1">
        <f>Partidas!AX157</f>
        <v>0</v>
      </c>
    </row>
    <row r="158" spans="1:35" ht="15" customHeight="1">
      <c r="A158" s="1" t="str">
        <f>Partidas!C158</f>
        <v>M-2014-29</v>
      </c>
      <c r="B158" s="4">
        <f>Partidas!F158</f>
        <v>41811</v>
      </c>
      <c r="C158" s="1">
        <f>Partidas!A158</f>
        <v>2014</v>
      </c>
      <c r="D158" s="1" t="str">
        <f>Partidas!H158</f>
        <v>Nigeria</v>
      </c>
      <c r="E158" s="1" t="str">
        <f>Partidas!I158</f>
        <v>Bosnia and Herzegovina</v>
      </c>
      <c r="F158" s="5">
        <f>Partidas!J158</f>
        <v>1</v>
      </c>
      <c r="G158" s="5">
        <f>Partidas!K158</f>
        <v>0</v>
      </c>
      <c r="H158" s="1" t="str">
        <f>Partidas!M158</f>
        <v>H</v>
      </c>
      <c r="I158" s="5">
        <f t="shared" si="36"/>
        <v>1</v>
      </c>
      <c r="J158" s="1" t="b">
        <f t="shared" si="37"/>
        <v>0</v>
      </c>
      <c r="K158" s="1" t="b">
        <f t="shared" si="38"/>
        <v>0</v>
      </c>
      <c r="L158" s="1" t="b">
        <f t="shared" si="39"/>
        <v>0</v>
      </c>
      <c r="M158" s="1" t="b">
        <f t="shared" si="40"/>
        <v>1</v>
      </c>
      <c r="N158" s="1" t="b">
        <f t="shared" si="41"/>
        <v>1</v>
      </c>
      <c r="O158" s="1" t="b">
        <f t="shared" si="42"/>
        <v>0</v>
      </c>
      <c r="P158" s="1" t="b">
        <f t="shared" si="43"/>
        <v>1</v>
      </c>
      <c r="Q158" s="1" t="b">
        <f t="shared" si="44"/>
        <v>1</v>
      </c>
      <c r="R158" s="1" t="b">
        <f t="shared" si="45"/>
        <v>0</v>
      </c>
      <c r="S158" s="5">
        <f>Partidas!T158</f>
        <v>4</v>
      </c>
      <c r="T158" s="5">
        <f>Partidas!U158</f>
        <v>4</v>
      </c>
      <c r="U158" s="5">
        <f t="shared" si="46"/>
        <v>8</v>
      </c>
      <c r="V158" s="5" t="b">
        <f t="shared" si="47"/>
        <v>0</v>
      </c>
      <c r="W158" s="5" t="b">
        <f t="shared" si="48"/>
        <v>0</v>
      </c>
      <c r="X158" s="5">
        <f>Partidas!X158</f>
        <v>1</v>
      </c>
      <c r="Y158" s="5">
        <f>Partidas!Y158</f>
        <v>1</v>
      </c>
      <c r="Z158" s="5">
        <f>Partidas!AG158</f>
        <v>0</v>
      </c>
      <c r="AA158" s="5">
        <f>Partidas!AH158</f>
        <v>0</v>
      </c>
      <c r="AB158" s="5">
        <f t="shared" si="49"/>
        <v>2</v>
      </c>
      <c r="AC158" s="1" t="b">
        <f t="shared" si="50"/>
        <v>0</v>
      </c>
      <c r="AD158" s="1" t="b">
        <f t="shared" si="51"/>
        <v>0</v>
      </c>
      <c r="AE158" s="1" t="b">
        <f t="shared" si="52"/>
        <v>0</v>
      </c>
      <c r="AF158" s="1" t="str">
        <f>Partidas!W158</f>
        <v>ok</v>
      </c>
      <c r="AG158" s="1" t="str">
        <f>Partidas!AK158</f>
        <v>ok</v>
      </c>
      <c r="AH158" s="1" t="str">
        <f t="shared" si="53"/>
        <v>Fjelstul World Cup Database + FootyStats CSV</v>
      </c>
      <c r="AI158" s="1">
        <f>Partidas!AX158</f>
        <v>0</v>
      </c>
    </row>
    <row r="159" spans="1:35" ht="15" customHeight="1">
      <c r="A159" s="1" t="str">
        <f>Partidas!C159</f>
        <v>M-2014-30</v>
      </c>
      <c r="B159" s="4">
        <f>Partidas!F159</f>
        <v>41812</v>
      </c>
      <c r="C159" s="1">
        <f>Partidas!A159</f>
        <v>2014</v>
      </c>
      <c r="D159" s="1" t="str">
        <f>Partidas!H159</f>
        <v>Belgium</v>
      </c>
      <c r="E159" s="1" t="str">
        <f>Partidas!I159</f>
        <v>Russia</v>
      </c>
      <c r="F159" s="5">
        <f>Partidas!J159</f>
        <v>1</v>
      </c>
      <c r="G159" s="5">
        <f>Partidas!K159</f>
        <v>0</v>
      </c>
      <c r="H159" s="1" t="str">
        <f>Partidas!M159</f>
        <v>H</v>
      </c>
      <c r="I159" s="5">
        <f t="shared" si="36"/>
        <v>1</v>
      </c>
      <c r="J159" s="1" t="b">
        <f t="shared" si="37"/>
        <v>0</v>
      </c>
      <c r="K159" s="1" t="b">
        <f t="shared" si="38"/>
        <v>0</v>
      </c>
      <c r="L159" s="1" t="b">
        <f t="shared" si="39"/>
        <v>0</v>
      </c>
      <c r="M159" s="1" t="b">
        <f t="shared" si="40"/>
        <v>1</v>
      </c>
      <c r="N159" s="1" t="b">
        <f t="shared" si="41"/>
        <v>1</v>
      </c>
      <c r="O159" s="1" t="b">
        <f t="shared" si="42"/>
        <v>0</v>
      </c>
      <c r="P159" s="1" t="b">
        <f t="shared" si="43"/>
        <v>1</v>
      </c>
      <c r="Q159" s="1" t="b">
        <f t="shared" si="44"/>
        <v>1</v>
      </c>
      <c r="R159" s="1" t="b">
        <f t="shared" si="45"/>
        <v>0</v>
      </c>
      <c r="S159" s="5">
        <f>Partidas!T159</f>
        <v>5</v>
      </c>
      <c r="T159" s="5">
        <f>Partidas!U159</f>
        <v>8</v>
      </c>
      <c r="U159" s="5">
        <f t="shared" si="46"/>
        <v>13</v>
      </c>
      <c r="V159" s="5" t="b">
        <f t="shared" si="47"/>
        <v>1</v>
      </c>
      <c r="W159" s="5" t="b">
        <f t="shared" si="48"/>
        <v>1</v>
      </c>
      <c r="X159" s="5">
        <f>Partidas!X159</f>
        <v>2</v>
      </c>
      <c r="Y159" s="5">
        <f>Partidas!Y159</f>
        <v>1</v>
      </c>
      <c r="Z159" s="5">
        <f>Partidas!AG159</f>
        <v>0</v>
      </c>
      <c r="AA159" s="5">
        <f>Partidas!AH159</f>
        <v>0</v>
      </c>
      <c r="AB159" s="5">
        <f t="shared" si="49"/>
        <v>3</v>
      </c>
      <c r="AC159" s="1" t="b">
        <f t="shared" si="50"/>
        <v>0</v>
      </c>
      <c r="AD159" s="1" t="b">
        <f t="shared" si="51"/>
        <v>0</v>
      </c>
      <c r="AE159" s="1" t="b">
        <f t="shared" si="52"/>
        <v>0</v>
      </c>
      <c r="AF159" s="1" t="str">
        <f>Partidas!W159</f>
        <v>ok</v>
      </c>
      <c r="AG159" s="1" t="str">
        <f>Partidas!AK159</f>
        <v>ok</v>
      </c>
      <c r="AH159" s="1" t="str">
        <f t="shared" si="53"/>
        <v>Fjelstul World Cup Database + FootyStats CSV</v>
      </c>
      <c r="AI159" s="1">
        <f>Partidas!AX159</f>
        <v>0</v>
      </c>
    </row>
    <row r="160" spans="1:35" ht="15" customHeight="1">
      <c r="A160" s="1" t="str">
        <f>Partidas!C160</f>
        <v>M-2014-31</v>
      </c>
      <c r="B160" s="4">
        <f>Partidas!F160</f>
        <v>41812</v>
      </c>
      <c r="C160" s="1">
        <f>Partidas!A160</f>
        <v>2014</v>
      </c>
      <c r="D160" s="1" t="str">
        <f>Partidas!H160</f>
        <v>South Korea</v>
      </c>
      <c r="E160" s="1" t="str">
        <f>Partidas!I160</f>
        <v>Algeria</v>
      </c>
      <c r="F160" s="5">
        <f>Partidas!J160</f>
        <v>2</v>
      </c>
      <c r="G160" s="5">
        <f>Partidas!K160</f>
        <v>4</v>
      </c>
      <c r="H160" s="1" t="str">
        <f>Partidas!M160</f>
        <v>A</v>
      </c>
      <c r="I160" s="5">
        <f t="shared" si="36"/>
        <v>6</v>
      </c>
      <c r="J160" s="1" t="b">
        <f t="shared" si="37"/>
        <v>1</v>
      </c>
      <c r="K160" s="1" t="b">
        <f t="shared" si="38"/>
        <v>1</v>
      </c>
      <c r="L160" s="1" t="b">
        <f t="shared" si="39"/>
        <v>1</v>
      </c>
      <c r="M160" s="1" t="b">
        <f t="shared" si="40"/>
        <v>0</v>
      </c>
      <c r="N160" s="1" t="b">
        <f t="shared" si="41"/>
        <v>0</v>
      </c>
      <c r="O160" s="1" t="b">
        <f t="shared" si="42"/>
        <v>1</v>
      </c>
      <c r="P160" s="1" t="b">
        <f t="shared" si="43"/>
        <v>0</v>
      </c>
      <c r="Q160" s="1" t="b">
        <f t="shared" si="44"/>
        <v>1</v>
      </c>
      <c r="R160" s="1" t="b">
        <f t="shared" si="45"/>
        <v>1</v>
      </c>
      <c r="S160" s="5">
        <f>Partidas!T160</f>
        <v>7</v>
      </c>
      <c r="T160" s="5">
        <f>Partidas!U160</f>
        <v>5</v>
      </c>
      <c r="U160" s="5">
        <f t="shared" si="46"/>
        <v>12</v>
      </c>
      <c r="V160" s="5" t="b">
        <f t="shared" si="47"/>
        <v>1</v>
      </c>
      <c r="W160" s="5" t="b">
        <f t="shared" si="48"/>
        <v>1</v>
      </c>
      <c r="X160" s="5">
        <f>Partidas!X160</f>
        <v>2</v>
      </c>
      <c r="Y160" s="5">
        <f>Partidas!Y160</f>
        <v>1</v>
      </c>
      <c r="Z160" s="5">
        <f>Partidas!AG160</f>
        <v>0</v>
      </c>
      <c r="AA160" s="5">
        <f>Partidas!AH160</f>
        <v>0</v>
      </c>
      <c r="AB160" s="5">
        <f t="shared" si="49"/>
        <v>3</v>
      </c>
      <c r="AC160" s="1" t="b">
        <f t="shared" si="50"/>
        <v>0</v>
      </c>
      <c r="AD160" s="1" t="b">
        <f t="shared" si="51"/>
        <v>0</v>
      </c>
      <c r="AE160" s="1" t="b">
        <f t="shared" si="52"/>
        <v>0</v>
      </c>
      <c r="AF160" s="1" t="str">
        <f>Partidas!W160</f>
        <v>ok</v>
      </c>
      <c r="AG160" s="1" t="str">
        <f>Partidas!AK160</f>
        <v>ok</v>
      </c>
      <c r="AH160" s="1" t="str">
        <f t="shared" si="53"/>
        <v>Fjelstul World Cup Database + FootyStats CSV</v>
      </c>
      <c r="AI160" s="1">
        <f>Partidas!AX160</f>
        <v>0</v>
      </c>
    </row>
    <row r="161" spans="1:35" ht="15" customHeight="1">
      <c r="A161" s="1" t="str">
        <f>Partidas!C161</f>
        <v>M-2014-32</v>
      </c>
      <c r="B161" s="4">
        <f>Partidas!F161</f>
        <v>41812</v>
      </c>
      <c r="C161" s="1">
        <f>Partidas!A161</f>
        <v>2014</v>
      </c>
      <c r="D161" s="1" t="str">
        <f>Partidas!H161</f>
        <v>United States</v>
      </c>
      <c r="E161" s="1" t="str">
        <f>Partidas!I161</f>
        <v>Portugal</v>
      </c>
      <c r="F161" s="5">
        <f>Partidas!J161</f>
        <v>2</v>
      </c>
      <c r="G161" s="5">
        <f>Partidas!K161</f>
        <v>2</v>
      </c>
      <c r="H161" s="1" t="str">
        <f>Partidas!M161</f>
        <v>D</v>
      </c>
      <c r="I161" s="5">
        <f t="shared" si="36"/>
        <v>4</v>
      </c>
      <c r="J161" s="1" t="b">
        <f t="shared" si="37"/>
        <v>1</v>
      </c>
      <c r="K161" s="1" t="b">
        <f t="shared" si="38"/>
        <v>1</v>
      </c>
      <c r="L161" s="1" t="b">
        <f t="shared" si="39"/>
        <v>1</v>
      </c>
      <c r="M161" s="1" t="b">
        <f t="shared" si="40"/>
        <v>0</v>
      </c>
      <c r="N161" s="1" t="b">
        <f t="shared" si="41"/>
        <v>0</v>
      </c>
      <c r="O161" s="1" t="b">
        <f t="shared" si="42"/>
        <v>1</v>
      </c>
      <c r="P161" s="1" t="b">
        <f t="shared" si="43"/>
        <v>1</v>
      </c>
      <c r="Q161" s="1" t="b">
        <f t="shared" si="44"/>
        <v>0</v>
      </c>
      <c r="R161" s="1" t="b">
        <f t="shared" si="45"/>
        <v>1</v>
      </c>
      <c r="S161" s="5">
        <f>Partidas!T161</f>
        <v>6</v>
      </c>
      <c r="T161" s="5">
        <f>Partidas!U161</f>
        <v>4</v>
      </c>
      <c r="U161" s="5">
        <f t="shared" si="46"/>
        <v>10</v>
      </c>
      <c r="V161" s="5" t="b">
        <f t="shared" si="47"/>
        <v>1</v>
      </c>
      <c r="W161" s="5" t="b">
        <f t="shared" si="48"/>
        <v>1</v>
      </c>
      <c r="X161" s="5">
        <f>Partidas!X161</f>
        <v>1</v>
      </c>
      <c r="Y161" s="5">
        <f>Partidas!Y161</f>
        <v>0</v>
      </c>
      <c r="Z161" s="5">
        <f>Partidas!AG161</f>
        <v>0</v>
      </c>
      <c r="AA161" s="5">
        <f>Partidas!AH161</f>
        <v>0</v>
      </c>
      <c r="AB161" s="5">
        <f t="shared" si="49"/>
        <v>1</v>
      </c>
      <c r="AC161" s="1" t="b">
        <f t="shared" si="50"/>
        <v>0</v>
      </c>
      <c r="AD161" s="1" t="b">
        <f t="shared" si="51"/>
        <v>0</v>
      </c>
      <c r="AE161" s="1" t="b">
        <f t="shared" si="52"/>
        <v>0</v>
      </c>
      <c r="AF161" s="1" t="str">
        <f>Partidas!W161</f>
        <v>ok</v>
      </c>
      <c r="AG161" s="1" t="str">
        <f>Partidas!AK161</f>
        <v>ok</v>
      </c>
      <c r="AH161" s="1" t="str">
        <f t="shared" si="53"/>
        <v>Fjelstul World Cup Database + FootyStats CSV</v>
      </c>
      <c r="AI161" s="1">
        <f>Partidas!AX161</f>
        <v>0</v>
      </c>
    </row>
    <row r="162" spans="1:35" ht="15" customHeight="1">
      <c r="A162" s="1" t="str">
        <f>Partidas!C162</f>
        <v>M-2014-33</v>
      </c>
      <c r="B162" s="4">
        <f>Partidas!F162</f>
        <v>41813</v>
      </c>
      <c r="C162" s="1">
        <f>Partidas!A162</f>
        <v>2014</v>
      </c>
      <c r="D162" s="1" t="str">
        <f>Partidas!H162</f>
        <v>Australia</v>
      </c>
      <c r="E162" s="1" t="str">
        <f>Partidas!I162</f>
        <v>Spain</v>
      </c>
      <c r="F162" s="5">
        <f>Partidas!J162</f>
        <v>0</v>
      </c>
      <c r="G162" s="5">
        <f>Partidas!K162</f>
        <v>3</v>
      </c>
      <c r="H162" s="1" t="str">
        <f>Partidas!M162</f>
        <v>A</v>
      </c>
      <c r="I162" s="5">
        <f t="shared" si="36"/>
        <v>3</v>
      </c>
      <c r="J162" s="1" t="b">
        <f t="shared" si="37"/>
        <v>1</v>
      </c>
      <c r="K162" s="1" t="b">
        <f t="shared" si="38"/>
        <v>1</v>
      </c>
      <c r="L162" s="1" t="b">
        <f t="shared" si="39"/>
        <v>0</v>
      </c>
      <c r="M162" s="1" t="b">
        <f t="shared" si="40"/>
        <v>0</v>
      </c>
      <c r="N162" s="1" t="b">
        <f t="shared" si="41"/>
        <v>1</v>
      </c>
      <c r="O162" s="1" t="b">
        <f t="shared" si="42"/>
        <v>0</v>
      </c>
      <c r="P162" s="1" t="b">
        <f t="shared" si="43"/>
        <v>0</v>
      </c>
      <c r="Q162" s="1" t="b">
        <f t="shared" si="44"/>
        <v>1</v>
      </c>
      <c r="R162" s="1" t="b">
        <f t="shared" si="45"/>
        <v>1</v>
      </c>
      <c r="S162" s="5">
        <f>Partidas!T162</f>
        <v>2</v>
      </c>
      <c r="T162" s="5">
        <f>Partidas!U162</f>
        <v>6</v>
      </c>
      <c r="U162" s="5">
        <f t="shared" si="46"/>
        <v>8</v>
      </c>
      <c r="V162" s="5" t="b">
        <f t="shared" si="47"/>
        <v>0</v>
      </c>
      <c r="W162" s="5" t="b">
        <f t="shared" si="48"/>
        <v>0</v>
      </c>
      <c r="X162" s="5">
        <f>Partidas!X162</f>
        <v>2</v>
      </c>
      <c r="Y162" s="5">
        <f>Partidas!Y162</f>
        <v>1</v>
      </c>
      <c r="Z162" s="5">
        <f>Partidas!AG162</f>
        <v>0</v>
      </c>
      <c r="AA162" s="5">
        <f>Partidas!AH162</f>
        <v>0</v>
      </c>
      <c r="AB162" s="5">
        <f t="shared" si="49"/>
        <v>3</v>
      </c>
      <c r="AC162" s="1" t="b">
        <f t="shared" si="50"/>
        <v>0</v>
      </c>
      <c r="AD162" s="1" t="b">
        <f t="shared" si="51"/>
        <v>0</v>
      </c>
      <c r="AE162" s="1" t="b">
        <f t="shared" si="52"/>
        <v>0</v>
      </c>
      <c r="AF162" s="1" t="str">
        <f>Partidas!W162</f>
        <v>ok</v>
      </c>
      <c r="AG162" s="1" t="str">
        <f>Partidas!AK162</f>
        <v>ok</v>
      </c>
      <c r="AH162" s="1" t="str">
        <f t="shared" si="53"/>
        <v>Fjelstul World Cup Database + FootyStats CSV</v>
      </c>
      <c r="AI162" s="1">
        <f>Partidas!AX162</f>
        <v>0</v>
      </c>
    </row>
    <row r="163" spans="1:35" ht="15" customHeight="1">
      <c r="A163" s="1" t="str">
        <f>Partidas!C163</f>
        <v>M-2014-34</v>
      </c>
      <c r="B163" s="4">
        <f>Partidas!F163</f>
        <v>41813</v>
      </c>
      <c r="C163" s="1">
        <f>Partidas!A163</f>
        <v>2014</v>
      </c>
      <c r="D163" s="1" t="str">
        <f>Partidas!H163</f>
        <v>Netherlands</v>
      </c>
      <c r="E163" s="1" t="str">
        <f>Partidas!I163</f>
        <v>Chile</v>
      </c>
      <c r="F163" s="5">
        <f>Partidas!J163</f>
        <v>2</v>
      </c>
      <c r="G163" s="5">
        <f>Partidas!K163</f>
        <v>0</v>
      </c>
      <c r="H163" s="1" t="str">
        <f>Partidas!M163</f>
        <v>H</v>
      </c>
      <c r="I163" s="5">
        <f t="shared" si="36"/>
        <v>2</v>
      </c>
      <c r="J163" s="1" t="b">
        <f t="shared" si="37"/>
        <v>1</v>
      </c>
      <c r="K163" s="1" t="b">
        <f t="shared" si="38"/>
        <v>0</v>
      </c>
      <c r="L163" s="1" t="b">
        <f t="shared" si="39"/>
        <v>0</v>
      </c>
      <c r="M163" s="1" t="b">
        <f t="shared" si="40"/>
        <v>1</v>
      </c>
      <c r="N163" s="1" t="b">
        <f t="shared" si="41"/>
        <v>1</v>
      </c>
      <c r="O163" s="1" t="b">
        <f t="shared" si="42"/>
        <v>0</v>
      </c>
      <c r="P163" s="1" t="b">
        <f t="shared" si="43"/>
        <v>1</v>
      </c>
      <c r="Q163" s="1" t="b">
        <f t="shared" si="44"/>
        <v>1</v>
      </c>
      <c r="R163" s="1" t="b">
        <f t="shared" si="45"/>
        <v>0</v>
      </c>
      <c r="S163" s="5">
        <f>Partidas!T163</f>
        <v>2</v>
      </c>
      <c r="T163" s="5">
        <f>Partidas!U163</f>
        <v>7</v>
      </c>
      <c r="U163" s="5">
        <f t="shared" si="46"/>
        <v>9</v>
      </c>
      <c r="V163" s="5" t="b">
        <f t="shared" si="47"/>
        <v>1</v>
      </c>
      <c r="W163" s="5" t="b">
        <f t="shared" si="48"/>
        <v>0</v>
      </c>
      <c r="X163" s="5">
        <f>Partidas!X163</f>
        <v>1</v>
      </c>
      <c r="Y163" s="5">
        <f>Partidas!Y163</f>
        <v>1</v>
      </c>
      <c r="Z163" s="5">
        <f>Partidas!AG163</f>
        <v>0</v>
      </c>
      <c r="AA163" s="5">
        <f>Partidas!AH163</f>
        <v>0</v>
      </c>
      <c r="AB163" s="5">
        <f t="shared" si="49"/>
        <v>2</v>
      </c>
      <c r="AC163" s="1" t="b">
        <f t="shared" si="50"/>
        <v>0</v>
      </c>
      <c r="AD163" s="1" t="b">
        <f t="shared" si="51"/>
        <v>0</v>
      </c>
      <c r="AE163" s="1" t="b">
        <f t="shared" si="52"/>
        <v>0</v>
      </c>
      <c r="AF163" s="1" t="str">
        <f>Partidas!W163</f>
        <v>ok</v>
      </c>
      <c r="AG163" s="1" t="str">
        <f>Partidas!AK163</f>
        <v>ok</v>
      </c>
      <c r="AH163" s="1" t="str">
        <f t="shared" si="53"/>
        <v>Fjelstul World Cup Database + FootyStats CSV</v>
      </c>
      <c r="AI163" s="1">
        <f>Partidas!AX163</f>
        <v>0</v>
      </c>
    </row>
    <row r="164" spans="1:35" ht="15" customHeight="1">
      <c r="A164" s="1" t="str">
        <f>Partidas!C164</f>
        <v>M-2014-35</v>
      </c>
      <c r="B164" s="4">
        <f>Partidas!F164</f>
        <v>41813</v>
      </c>
      <c r="C164" s="1">
        <f>Partidas!A164</f>
        <v>2014</v>
      </c>
      <c r="D164" s="1" t="str">
        <f>Partidas!H164</f>
        <v>Cameroon</v>
      </c>
      <c r="E164" s="1" t="str">
        <f>Partidas!I164</f>
        <v>Brazil</v>
      </c>
      <c r="F164" s="5">
        <f>Partidas!J164</f>
        <v>1</v>
      </c>
      <c r="G164" s="5">
        <f>Partidas!K164</f>
        <v>4</v>
      </c>
      <c r="H164" s="1" t="str">
        <f>Partidas!M164</f>
        <v>A</v>
      </c>
      <c r="I164" s="5">
        <f t="shared" si="36"/>
        <v>5</v>
      </c>
      <c r="J164" s="1" t="b">
        <f t="shared" si="37"/>
        <v>1</v>
      </c>
      <c r="K164" s="1" t="b">
        <f t="shared" si="38"/>
        <v>1</v>
      </c>
      <c r="L164" s="1" t="b">
        <f t="shared" si="39"/>
        <v>1</v>
      </c>
      <c r="M164" s="1" t="b">
        <f t="shared" si="40"/>
        <v>0</v>
      </c>
      <c r="N164" s="1" t="b">
        <f t="shared" si="41"/>
        <v>0</v>
      </c>
      <c r="O164" s="1" t="b">
        <f t="shared" si="42"/>
        <v>1</v>
      </c>
      <c r="P164" s="1" t="b">
        <f t="shared" si="43"/>
        <v>0</v>
      </c>
      <c r="Q164" s="1" t="b">
        <f t="shared" si="44"/>
        <v>1</v>
      </c>
      <c r="R164" s="1" t="b">
        <f t="shared" si="45"/>
        <v>1</v>
      </c>
      <c r="S164" s="5">
        <f>Partidas!T164</f>
        <v>6</v>
      </c>
      <c r="T164" s="5">
        <f>Partidas!U164</f>
        <v>7</v>
      </c>
      <c r="U164" s="5">
        <f t="shared" si="46"/>
        <v>13</v>
      </c>
      <c r="V164" s="5" t="b">
        <f t="shared" si="47"/>
        <v>1</v>
      </c>
      <c r="W164" s="5" t="b">
        <f t="shared" si="48"/>
        <v>1</v>
      </c>
      <c r="X164" s="5">
        <f>Partidas!X164</f>
        <v>3</v>
      </c>
      <c r="Y164" s="5">
        <f>Partidas!Y164</f>
        <v>0</v>
      </c>
      <c r="Z164" s="5">
        <f>Partidas!AG164</f>
        <v>0</v>
      </c>
      <c r="AA164" s="5">
        <f>Partidas!AH164</f>
        <v>0</v>
      </c>
      <c r="AB164" s="5">
        <f t="shared" si="49"/>
        <v>3</v>
      </c>
      <c r="AC164" s="1" t="b">
        <f t="shared" si="50"/>
        <v>0</v>
      </c>
      <c r="AD164" s="1" t="b">
        <f t="shared" si="51"/>
        <v>0</v>
      </c>
      <c r="AE164" s="1" t="b">
        <f t="shared" si="52"/>
        <v>0</v>
      </c>
      <c r="AF164" s="1" t="str">
        <f>Partidas!W164</f>
        <v>ok</v>
      </c>
      <c r="AG164" s="1" t="str">
        <f>Partidas!AK164</f>
        <v>ok</v>
      </c>
      <c r="AH164" s="1" t="str">
        <f t="shared" si="53"/>
        <v>Fjelstul World Cup Database + FootyStats CSV</v>
      </c>
      <c r="AI164" s="1">
        <f>Partidas!AX164</f>
        <v>0</v>
      </c>
    </row>
    <row r="165" spans="1:35" ht="15" customHeight="1">
      <c r="A165" s="1" t="str">
        <f>Partidas!C165</f>
        <v>M-2014-36</v>
      </c>
      <c r="B165" s="4">
        <f>Partidas!F165</f>
        <v>41813</v>
      </c>
      <c r="C165" s="1">
        <f>Partidas!A165</f>
        <v>2014</v>
      </c>
      <c r="D165" s="1" t="str">
        <f>Partidas!H165</f>
        <v>Croatia</v>
      </c>
      <c r="E165" s="1" t="str">
        <f>Partidas!I165</f>
        <v>Mexico</v>
      </c>
      <c r="F165" s="5">
        <f>Partidas!J165</f>
        <v>1</v>
      </c>
      <c r="G165" s="5">
        <f>Partidas!K165</f>
        <v>3</v>
      </c>
      <c r="H165" s="1" t="str">
        <f>Partidas!M165</f>
        <v>A</v>
      </c>
      <c r="I165" s="5">
        <f t="shared" si="36"/>
        <v>4</v>
      </c>
      <c r="J165" s="1" t="b">
        <f t="shared" si="37"/>
        <v>1</v>
      </c>
      <c r="K165" s="1" t="b">
        <f t="shared" si="38"/>
        <v>1</v>
      </c>
      <c r="L165" s="1" t="b">
        <f t="shared" si="39"/>
        <v>1</v>
      </c>
      <c r="M165" s="1" t="b">
        <f t="shared" si="40"/>
        <v>0</v>
      </c>
      <c r="N165" s="1" t="b">
        <f t="shared" si="41"/>
        <v>0</v>
      </c>
      <c r="O165" s="1" t="b">
        <f t="shared" si="42"/>
        <v>1</v>
      </c>
      <c r="P165" s="1" t="b">
        <f t="shared" si="43"/>
        <v>0</v>
      </c>
      <c r="Q165" s="1" t="b">
        <f t="shared" si="44"/>
        <v>1</v>
      </c>
      <c r="R165" s="1" t="b">
        <f t="shared" si="45"/>
        <v>1</v>
      </c>
      <c r="S165" s="5">
        <f>Partidas!T165</f>
        <v>7</v>
      </c>
      <c r="T165" s="5">
        <f>Partidas!U165</f>
        <v>9</v>
      </c>
      <c r="U165" s="5">
        <f t="shared" si="46"/>
        <v>16</v>
      </c>
      <c r="V165" s="5" t="b">
        <f t="shared" si="47"/>
        <v>1</v>
      </c>
      <c r="W165" s="5" t="b">
        <f t="shared" si="48"/>
        <v>1</v>
      </c>
      <c r="X165" s="5">
        <f>Partidas!X165</f>
        <v>1</v>
      </c>
      <c r="Y165" s="5">
        <f>Partidas!Y165</f>
        <v>2</v>
      </c>
      <c r="Z165" s="5">
        <f>Partidas!AG165</f>
        <v>1</v>
      </c>
      <c r="AA165" s="5">
        <f>Partidas!AH165</f>
        <v>0</v>
      </c>
      <c r="AB165" s="5">
        <f t="shared" si="49"/>
        <v>4</v>
      </c>
      <c r="AC165" s="1" t="b">
        <f t="shared" si="50"/>
        <v>1</v>
      </c>
      <c r="AD165" s="1" t="b">
        <f t="shared" si="51"/>
        <v>0</v>
      </c>
      <c r="AE165" s="1" t="b">
        <f t="shared" si="52"/>
        <v>0</v>
      </c>
      <c r="AF165" s="1" t="str">
        <f>Partidas!W165</f>
        <v>ok</v>
      </c>
      <c r="AG165" s="1" t="str">
        <f>Partidas!AK165</f>
        <v>ok</v>
      </c>
      <c r="AH165" s="1" t="str">
        <f t="shared" si="53"/>
        <v>Fjelstul World Cup Database + FootyStats CSV</v>
      </c>
      <c r="AI165" s="1">
        <f>Partidas!AX165</f>
        <v>0</v>
      </c>
    </row>
    <row r="166" spans="1:35" ht="15" customHeight="1">
      <c r="A166" s="1" t="str">
        <f>Partidas!C166</f>
        <v>M-2014-37</v>
      </c>
      <c r="B166" s="4">
        <f>Partidas!F166</f>
        <v>41814</v>
      </c>
      <c r="C166" s="1">
        <f>Partidas!A166</f>
        <v>2014</v>
      </c>
      <c r="D166" s="1" t="str">
        <f>Partidas!H166</f>
        <v>Costa Rica</v>
      </c>
      <c r="E166" s="1" t="str">
        <f>Partidas!I166</f>
        <v>England</v>
      </c>
      <c r="F166" s="5">
        <f>Partidas!J166</f>
        <v>0</v>
      </c>
      <c r="G166" s="5">
        <f>Partidas!K166</f>
        <v>0</v>
      </c>
      <c r="H166" s="1" t="str">
        <f>Partidas!M166</f>
        <v>D</v>
      </c>
      <c r="I166" s="5">
        <f t="shared" si="36"/>
        <v>0</v>
      </c>
      <c r="J166" s="1" t="b">
        <f t="shared" si="37"/>
        <v>0</v>
      </c>
      <c r="K166" s="1" t="b">
        <f t="shared" si="38"/>
        <v>0</v>
      </c>
      <c r="L166" s="1" t="b">
        <f t="shared" si="39"/>
        <v>0</v>
      </c>
      <c r="M166" s="1" t="b">
        <f t="shared" si="40"/>
        <v>1</v>
      </c>
      <c r="N166" s="1" t="b">
        <f t="shared" si="41"/>
        <v>1</v>
      </c>
      <c r="O166" s="1" t="b">
        <f t="shared" si="42"/>
        <v>0</v>
      </c>
      <c r="P166" s="1" t="b">
        <f t="shared" si="43"/>
        <v>1</v>
      </c>
      <c r="Q166" s="1" t="b">
        <f t="shared" si="44"/>
        <v>0</v>
      </c>
      <c r="R166" s="1" t="b">
        <f t="shared" si="45"/>
        <v>1</v>
      </c>
      <c r="S166" s="5">
        <f>Partidas!T166</f>
        <v>3</v>
      </c>
      <c r="T166" s="5">
        <f>Partidas!U166</f>
        <v>7</v>
      </c>
      <c r="U166" s="5">
        <f t="shared" si="46"/>
        <v>10</v>
      </c>
      <c r="V166" s="5" t="b">
        <f t="shared" si="47"/>
        <v>1</v>
      </c>
      <c r="W166" s="5" t="b">
        <f t="shared" si="48"/>
        <v>1</v>
      </c>
      <c r="X166" s="5">
        <f>Partidas!X166</f>
        <v>1</v>
      </c>
      <c r="Y166" s="5">
        <f>Partidas!Y166</f>
        <v>2</v>
      </c>
      <c r="Z166" s="5">
        <f>Partidas!AG166</f>
        <v>0</v>
      </c>
      <c r="AA166" s="5">
        <f>Partidas!AH166</f>
        <v>0</v>
      </c>
      <c r="AB166" s="5">
        <f t="shared" si="49"/>
        <v>3</v>
      </c>
      <c r="AC166" s="1" t="b">
        <f t="shared" si="50"/>
        <v>0</v>
      </c>
      <c r="AD166" s="1" t="b">
        <f t="shared" si="51"/>
        <v>0</v>
      </c>
      <c r="AE166" s="1" t="b">
        <f t="shared" si="52"/>
        <v>0</v>
      </c>
      <c r="AF166" s="1" t="str">
        <f>Partidas!W166</f>
        <v>ok</v>
      </c>
      <c r="AG166" s="1" t="str">
        <f>Partidas!AK166</f>
        <v>ok</v>
      </c>
      <c r="AH166" s="1" t="str">
        <f t="shared" si="53"/>
        <v>Fjelstul World Cup Database + FootyStats CSV</v>
      </c>
      <c r="AI166" s="1">
        <f>Partidas!AX166</f>
        <v>0</v>
      </c>
    </row>
    <row r="167" spans="1:35" ht="15" customHeight="1">
      <c r="A167" s="1" t="str">
        <f>Partidas!C167</f>
        <v>M-2014-38</v>
      </c>
      <c r="B167" s="4">
        <f>Partidas!F167</f>
        <v>41814</v>
      </c>
      <c r="C167" s="1">
        <f>Partidas!A167</f>
        <v>2014</v>
      </c>
      <c r="D167" s="1" t="str">
        <f>Partidas!H167</f>
        <v>Italy</v>
      </c>
      <c r="E167" s="1" t="str">
        <f>Partidas!I167</f>
        <v>Uruguay</v>
      </c>
      <c r="F167" s="5">
        <f>Partidas!J167</f>
        <v>0</v>
      </c>
      <c r="G167" s="5">
        <f>Partidas!K167</f>
        <v>1</v>
      </c>
      <c r="H167" s="1" t="str">
        <f>Partidas!M167</f>
        <v>A</v>
      </c>
      <c r="I167" s="5">
        <f t="shared" si="36"/>
        <v>1</v>
      </c>
      <c r="J167" s="1" t="b">
        <f t="shared" si="37"/>
        <v>0</v>
      </c>
      <c r="K167" s="1" t="b">
        <f t="shared" si="38"/>
        <v>0</v>
      </c>
      <c r="L167" s="1" t="b">
        <f t="shared" si="39"/>
        <v>0</v>
      </c>
      <c r="M167" s="1" t="b">
        <f t="shared" si="40"/>
        <v>1</v>
      </c>
      <c r="N167" s="1" t="b">
        <f t="shared" si="41"/>
        <v>1</v>
      </c>
      <c r="O167" s="1" t="b">
        <f t="shared" si="42"/>
        <v>0</v>
      </c>
      <c r="P167" s="1" t="b">
        <f t="shared" si="43"/>
        <v>0</v>
      </c>
      <c r="Q167" s="1" t="b">
        <f t="shared" si="44"/>
        <v>1</v>
      </c>
      <c r="R167" s="1" t="b">
        <f t="shared" si="45"/>
        <v>1</v>
      </c>
      <c r="S167" s="5">
        <f>Partidas!T167</f>
        <v>3</v>
      </c>
      <c r="T167" s="5">
        <f>Partidas!U167</f>
        <v>3</v>
      </c>
      <c r="U167" s="5">
        <f t="shared" si="46"/>
        <v>6</v>
      </c>
      <c r="V167" s="5" t="b">
        <f t="shared" si="47"/>
        <v>0</v>
      </c>
      <c r="W167" s="5" t="b">
        <f t="shared" si="48"/>
        <v>0</v>
      </c>
      <c r="X167" s="5">
        <f>Partidas!X167</f>
        <v>2</v>
      </c>
      <c r="Y167" s="5">
        <f>Partidas!Y167</f>
        <v>2</v>
      </c>
      <c r="Z167" s="5">
        <f>Partidas!AG167</f>
        <v>1</v>
      </c>
      <c r="AA167" s="5">
        <f>Partidas!AH167</f>
        <v>0</v>
      </c>
      <c r="AB167" s="5">
        <f t="shared" si="49"/>
        <v>5</v>
      </c>
      <c r="AC167" s="1" t="b">
        <f t="shared" si="50"/>
        <v>1</v>
      </c>
      <c r="AD167" s="1" t="b">
        <f t="shared" si="51"/>
        <v>1</v>
      </c>
      <c r="AE167" s="1" t="b">
        <f t="shared" si="52"/>
        <v>0</v>
      </c>
      <c r="AF167" s="1" t="str">
        <f>Partidas!W167</f>
        <v>ok</v>
      </c>
      <c r="AG167" s="1" t="str">
        <f>Partidas!AK167</f>
        <v>ok</v>
      </c>
      <c r="AH167" s="1" t="str">
        <f t="shared" si="53"/>
        <v>Fjelstul World Cup Database + FootyStats CSV</v>
      </c>
      <c r="AI167" s="1">
        <f>Partidas!AX167</f>
        <v>0</v>
      </c>
    </row>
    <row r="168" spans="1:35" ht="15" customHeight="1">
      <c r="A168" s="1" t="str">
        <f>Partidas!C168</f>
        <v>M-2014-39</v>
      </c>
      <c r="B168" s="4">
        <f>Partidas!F168</f>
        <v>41814</v>
      </c>
      <c r="C168" s="1">
        <f>Partidas!A168</f>
        <v>2014</v>
      </c>
      <c r="D168" s="1" t="str">
        <f>Partidas!H168</f>
        <v>Japan</v>
      </c>
      <c r="E168" s="1" t="str">
        <f>Partidas!I168</f>
        <v>Colombia</v>
      </c>
      <c r="F168" s="5">
        <f>Partidas!J168</f>
        <v>1</v>
      </c>
      <c r="G168" s="5">
        <f>Partidas!K168</f>
        <v>4</v>
      </c>
      <c r="H168" s="1" t="str">
        <f>Partidas!M168</f>
        <v>A</v>
      </c>
      <c r="I168" s="5">
        <f t="shared" si="36"/>
        <v>5</v>
      </c>
      <c r="J168" s="1" t="b">
        <f t="shared" si="37"/>
        <v>1</v>
      </c>
      <c r="K168" s="1" t="b">
        <f t="shared" si="38"/>
        <v>1</v>
      </c>
      <c r="L168" s="1" t="b">
        <f t="shared" si="39"/>
        <v>1</v>
      </c>
      <c r="M168" s="1" t="b">
        <f t="shared" si="40"/>
        <v>0</v>
      </c>
      <c r="N168" s="1" t="b">
        <f t="shared" si="41"/>
        <v>0</v>
      </c>
      <c r="O168" s="1" t="b">
        <f t="shared" si="42"/>
        <v>1</v>
      </c>
      <c r="P168" s="1" t="b">
        <f t="shared" si="43"/>
        <v>0</v>
      </c>
      <c r="Q168" s="1" t="b">
        <f t="shared" si="44"/>
        <v>1</v>
      </c>
      <c r="R168" s="1" t="b">
        <f t="shared" si="45"/>
        <v>1</v>
      </c>
      <c r="S168" s="5">
        <f>Partidas!T168</f>
        <v>9</v>
      </c>
      <c r="T168" s="5">
        <f>Partidas!U168</f>
        <v>2</v>
      </c>
      <c r="U168" s="5">
        <f t="shared" si="46"/>
        <v>11</v>
      </c>
      <c r="V168" s="5" t="b">
        <f t="shared" si="47"/>
        <v>1</v>
      </c>
      <c r="W168" s="5" t="b">
        <f t="shared" si="48"/>
        <v>1</v>
      </c>
      <c r="X168" s="5">
        <f>Partidas!X168</f>
        <v>1</v>
      </c>
      <c r="Y168" s="5">
        <f>Partidas!Y168</f>
        <v>1</v>
      </c>
      <c r="Z168" s="5">
        <f>Partidas!AG168</f>
        <v>0</v>
      </c>
      <c r="AA168" s="5">
        <f>Partidas!AH168</f>
        <v>0</v>
      </c>
      <c r="AB168" s="5">
        <f t="shared" si="49"/>
        <v>2</v>
      </c>
      <c r="AC168" s="1" t="b">
        <f t="shared" si="50"/>
        <v>0</v>
      </c>
      <c r="AD168" s="1" t="b">
        <f t="shared" si="51"/>
        <v>0</v>
      </c>
      <c r="AE168" s="1" t="b">
        <f t="shared" si="52"/>
        <v>0</v>
      </c>
      <c r="AF168" s="1" t="str">
        <f>Partidas!W168</f>
        <v>ok</v>
      </c>
      <c r="AG168" s="1" t="str">
        <f>Partidas!AK168</f>
        <v>ok</v>
      </c>
      <c r="AH168" s="1" t="str">
        <f t="shared" si="53"/>
        <v>Fjelstul World Cup Database + FootyStats CSV</v>
      </c>
      <c r="AI168" s="1">
        <f>Partidas!AX168</f>
        <v>0</v>
      </c>
    </row>
    <row r="169" spans="1:35" ht="15" customHeight="1">
      <c r="A169" s="1" t="str">
        <f>Partidas!C169</f>
        <v>M-2014-40</v>
      </c>
      <c r="B169" s="4">
        <f>Partidas!F169</f>
        <v>41814</v>
      </c>
      <c r="C169" s="1">
        <f>Partidas!A169</f>
        <v>2014</v>
      </c>
      <c r="D169" s="1" t="str">
        <f>Partidas!H169</f>
        <v>Greece</v>
      </c>
      <c r="E169" s="1" t="str">
        <f>Partidas!I169</f>
        <v>Ivory Coast</v>
      </c>
      <c r="F169" s="5">
        <f>Partidas!J169</f>
        <v>2</v>
      </c>
      <c r="G169" s="5">
        <f>Partidas!K169</f>
        <v>1</v>
      </c>
      <c r="H169" s="1" t="str">
        <f>Partidas!M169</f>
        <v>H</v>
      </c>
      <c r="I169" s="5">
        <f t="shared" si="36"/>
        <v>3</v>
      </c>
      <c r="J169" s="1" t="b">
        <f t="shared" si="37"/>
        <v>1</v>
      </c>
      <c r="K169" s="1" t="b">
        <f t="shared" si="38"/>
        <v>1</v>
      </c>
      <c r="L169" s="1" t="b">
        <f t="shared" si="39"/>
        <v>0</v>
      </c>
      <c r="M169" s="1" t="b">
        <f t="shared" si="40"/>
        <v>0</v>
      </c>
      <c r="N169" s="1" t="b">
        <f t="shared" si="41"/>
        <v>1</v>
      </c>
      <c r="O169" s="1" t="b">
        <f t="shared" si="42"/>
        <v>1</v>
      </c>
      <c r="P169" s="1" t="b">
        <f t="shared" si="43"/>
        <v>1</v>
      </c>
      <c r="Q169" s="1" t="b">
        <f t="shared" si="44"/>
        <v>1</v>
      </c>
      <c r="R169" s="1" t="b">
        <f t="shared" si="45"/>
        <v>0</v>
      </c>
      <c r="S169" s="5">
        <f>Partidas!T169</f>
        <v>4</v>
      </c>
      <c r="T169" s="5">
        <f>Partidas!U169</f>
        <v>7</v>
      </c>
      <c r="U169" s="5">
        <f t="shared" si="46"/>
        <v>11</v>
      </c>
      <c r="V169" s="5" t="b">
        <f t="shared" si="47"/>
        <v>1</v>
      </c>
      <c r="W169" s="5" t="b">
        <f t="shared" si="48"/>
        <v>1</v>
      </c>
      <c r="X169" s="5">
        <f>Partidas!X169</f>
        <v>0</v>
      </c>
      <c r="Y169" s="5">
        <f>Partidas!Y169</f>
        <v>3</v>
      </c>
      <c r="Z169" s="5">
        <f>Partidas!AG169</f>
        <v>0</v>
      </c>
      <c r="AA169" s="5">
        <f>Partidas!AH169</f>
        <v>0</v>
      </c>
      <c r="AB169" s="5">
        <f t="shared" si="49"/>
        <v>3</v>
      </c>
      <c r="AC169" s="1" t="b">
        <f t="shared" si="50"/>
        <v>0</v>
      </c>
      <c r="AD169" s="1" t="b">
        <f t="shared" si="51"/>
        <v>0</v>
      </c>
      <c r="AE169" s="1" t="b">
        <f t="shared" si="52"/>
        <v>0</v>
      </c>
      <c r="AF169" s="1" t="str">
        <f>Partidas!W169</f>
        <v>ok</v>
      </c>
      <c r="AG169" s="1" t="str">
        <f>Partidas!AK169</f>
        <v>ok</v>
      </c>
      <c r="AH169" s="1" t="str">
        <f t="shared" si="53"/>
        <v>Fjelstul World Cup Database + FootyStats CSV</v>
      </c>
      <c r="AI169" s="1">
        <f>Partidas!AX169</f>
        <v>0</v>
      </c>
    </row>
    <row r="170" spans="1:35" ht="15" customHeight="1">
      <c r="A170" s="1" t="str">
        <f>Partidas!C170</f>
        <v>M-2014-41</v>
      </c>
      <c r="B170" s="4">
        <f>Partidas!F170</f>
        <v>41815</v>
      </c>
      <c r="C170" s="1">
        <f>Partidas!A170</f>
        <v>2014</v>
      </c>
      <c r="D170" s="1" t="str">
        <f>Partidas!H170</f>
        <v>Bosnia and Herzegovina</v>
      </c>
      <c r="E170" s="1" t="str">
        <f>Partidas!I170</f>
        <v>Iran</v>
      </c>
      <c r="F170" s="5">
        <f>Partidas!J170</f>
        <v>3</v>
      </c>
      <c r="G170" s="5">
        <f>Partidas!K170</f>
        <v>1</v>
      </c>
      <c r="H170" s="1" t="str">
        <f>Partidas!M170</f>
        <v>H</v>
      </c>
      <c r="I170" s="5">
        <f t="shared" si="36"/>
        <v>4</v>
      </c>
      <c r="J170" s="1" t="b">
        <f t="shared" si="37"/>
        <v>1</v>
      </c>
      <c r="K170" s="1" t="b">
        <f t="shared" si="38"/>
        <v>1</v>
      </c>
      <c r="L170" s="1" t="b">
        <f t="shared" si="39"/>
        <v>1</v>
      </c>
      <c r="M170" s="1" t="b">
        <f t="shared" si="40"/>
        <v>0</v>
      </c>
      <c r="N170" s="1" t="b">
        <f t="shared" si="41"/>
        <v>0</v>
      </c>
      <c r="O170" s="1" t="b">
        <f t="shared" si="42"/>
        <v>1</v>
      </c>
      <c r="P170" s="1" t="b">
        <f t="shared" si="43"/>
        <v>1</v>
      </c>
      <c r="Q170" s="1" t="b">
        <f t="shared" si="44"/>
        <v>1</v>
      </c>
      <c r="R170" s="1" t="b">
        <f t="shared" si="45"/>
        <v>0</v>
      </c>
      <c r="S170" s="5">
        <f>Partidas!T170</f>
        <v>6</v>
      </c>
      <c r="T170" s="5">
        <f>Partidas!U170</f>
        <v>5</v>
      </c>
      <c r="U170" s="5">
        <f t="shared" si="46"/>
        <v>11</v>
      </c>
      <c r="V170" s="5" t="b">
        <f t="shared" si="47"/>
        <v>1</v>
      </c>
      <c r="W170" s="5" t="b">
        <f t="shared" si="48"/>
        <v>1</v>
      </c>
      <c r="X170" s="5">
        <f>Partidas!X170</f>
        <v>1</v>
      </c>
      <c r="Y170" s="5">
        <f>Partidas!Y170</f>
        <v>1</v>
      </c>
      <c r="Z170" s="5">
        <f>Partidas!AG170</f>
        <v>0</v>
      </c>
      <c r="AA170" s="5">
        <f>Partidas!AH170</f>
        <v>0</v>
      </c>
      <c r="AB170" s="5">
        <f t="shared" si="49"/>
        <v>2</v>
      </c>
      <c r="AC170" s="1" t="b">
        <f t="shared" si="50"/>
        <v>0</v>
      </c>
      <c r="AD170" s="1" t="b">
        <f t="shared" si="51"/>
        <v>0</v>
      </c>
      <c r="AE170" s="1" t="b">
        <f t="shared" si="52"/>
        <v>0</v>
      </c>
      <c r="AF170" s="1" t="str">
        <f>Partidas!W170</f>
        <v>ok</v>
      </c>
      <c r="AG170" s="1" t="str">
        <f>Partidas!AK170</f>
        <v>ok</v>
      </c>
      <c r="AH170" s="1" t="str">
        <f t="shared" si="53"/>
        <v>Fjelstul World Cup Database + FootyStats CSV</v>
      </c>
      <c r="AI170" s="1">
        <f>Partidas!AX170</f>
        <v>0</v>
      </c>
    </row>
    <row r="171" spans="1:35" ht="15" customHeight="1">
      <c r="A171" s="1" t="str">
        <f>Partidas!C171</f>
        <v>M-2014-42</v>
      </c>
      <c r="B171" s="4">
        <f>Partidas!F171</f>
        <v>41815</v>
      </c>
      <c r="C171" s="1">
        <f>Partidas!A171</f>
        <v>2014</v>
      </c>
      <c r="D171" s="1" t="str">
        <f>Partidas!H171</f>
        <v>Nigeria</v>
      </c>
      <c r="E171" s="1" t="str">
        <f>Partidas!I171</f>
        <v>Argentina</v>
      </c>
      <c r="F171" s="5">
        <f>Partidas!J171</f>
        <v>2</v>
      </c>
      <c r="G171" s="5">
        <f>Partidas!K171</f>
        <v>3</v>
      </c>
      <c r="H171" s="1" t="str">
        <f>Partidas!M171</f>
        <v>A</v>
      </c>
      <c r="I171" s="5">
        <f t="shared" si="36"/>
        <v>5</v>
      </c>
      <c r="J171" s="1" t="b">
        <f t="shared" si="37"/>
        <v>1</v>
      </c>
      <c r="K171" s="1" t="b">
        <f t="shared" si="38"/>
        <v>1</v>
      </c>
      <c r="L171" s="1" t="b">
        <f t="shared" si="39"/>
        <v>1</v>
      </c>
      <c r="M171" s="1" t="b">
        <f t="shared" si="40"/>
        <v>0</v>
      </c>
      <c r="N171" s="1" t="b">
        <f t="shared" si="41"/>
        <v>0</v>
      </c>
      <c r="O171" s="1" t="b">
        <f t="shared" si="42"/>
        <v>1</v>
      </c>
      <c r="P171" s="1" t="b">
        <f t="shared" si="43"/>
        <v>0</v>
      </c>
      <c r="Q171" s="1" t="b">
        <f t="shared" si="44"/>
        <v>1</v>
      </c>
      <c r="R171" s="1" t="b">
        <f t="shared" si="45"/>
        <v>1</v>
      </c>
      <c r="S171" s="5">
        <f>Partidas!T171</f>
        <v>4</v>
      </c>
      <c r="T171" s="5">
        <f>Partidas!U171</f>
        <v>12</v>
      </c>
      <c r="U171" s="5">
        <f t="shared" si="46"/>
        <v>16</v>
      </c>
      <c r="V171" s="5" t="b">
        <f t="shared" si="47"/>
        <v>1</v>
      </c>
      <c r="W171" s="5" t="b">
        <f t="shared" si="48"/>
        <v>1</v>
      </c>
      <c r="X171" s="5">
        <f>Partidas!X171</f>
        <v>2</v>
      </c>
      <c r="Y171" s="5">
        <f>Partidas!Y171</f>
        <v>0</v>
      </c>
      <c r="Z171" s="5">
        <f>Partidas!AG171</f>
        <v>0</v>
      </c>
      <c r="AA171" s="5">
        <f>Partidas!AH171</f>
        <v>0</v>
      </c>
      <c r="AB171" s="5">
        <f t="shared" si="49"/>
        <v>2</v>
      </c>
      <c r="AC171" s="1" t="b">
        <f t="shared" si="50"/>
        <v>0</v>
      </c>
      <c r="AD171" s="1" t="b">
        <f t="shared" si="51"/>
        <v>0</v>
      </c>
      <c r="AE171" s="1" t="b">
        <f t="shared" si="52"/>
        <v>0</v>
      </c>
      <c r="AF171" s="1" t="str">
        <f>Partidas!W171</f>
        <v>ok</v>
      </c>
      <c r="AG171" s="1" t="str">
        <f>Partidas!AK171</f>
        <v>ok</v>
      </c>
      <c r="AH171" s="1" t="str">
        <f t="shared" si="53"/>
        <v>Fjelstul World Cup Database + FootyStats CSV</v>
      </c>
      <c r="AI171" s="1">
        <f>Partidas!AX171</f>
        <v>0</v>
      </c>
    </row>
    <row r="172" spans="1:35" ht="15" customHeight="1">
      <c r="A172" s="1" t="str">
        <f>Partidas!C172</f>
        <v>M-2014-43</v>
      </c>
      <c r="B172" s="4">
        <f>Partidas!F172</f>
        <v>41815</v>
      </c>
      <c r="C172" s="1">
        <f>Partidas!A172</f>
        <v>2014</v>
      </c>
      <c r="D172" s="1" t="str">
        <f>Partidas!H172</f>
        <v>Honduras</v>
      </c>
      <c r="E172" s="1" t="str">
        <f>Partidas!I172</f>
        <v>Switzerland</v>
      </c>
      <c r="F172" s="5">
        <f>Partidas!J172</f>
        <v>0</v>
      </c>
      <c r="G172" s="5">
        <f>Partidas!K172</f>
        <v>3</v>
      </c>
      <c r="H172" s="1" t="str">
        <f>Partidas!M172</f>
        <v>A</v>
      </c>
      <c r="I172" s="5">
        <f t="shared" si="36"/>
        <v>3</v>
      </c>
      <c r="J172" s="1" t="b">
        <f t="shared" si="37"/>
        <v>1</v>
      </c>
      <c r="K172" s="1" t="b">
        <f t="shared" si="38"/>
        <v>1</v>
      </c>
      <c r="L172" s="1" t="b">
        <f t="shared" si="39"/>
        <v>0</v>
      </c>
      <c r="M172" s="1" t="b">
        <f t="shared" si="40"/>
        <v>0</v>
      </c>
      <c r="N172" s="1" t="b">
        <f t="shared" si="41"/>
        <v>1</v>
      </c>
      <c r="O172" s="1" t="b">
        <f t="shared" si="42"/>
        <v>0</v>
      </c>
      <c r="P172" s="1" t="b">
        <f t="shared" si="43"/>
        <v>0</v>
      </c>
      <c r="Q172" s="1" t="b">
        <f t="shared" si="44"/>
        <v>1</v>
      </c>
      <c r="R172" s="1" t="b">
        <f t="shared" si="45"/>
        <v>1</v>
      </c>
      <c r="S172" s="5">
        <f>Partidas!T172</f>
        <v>8</v>
      </c>
      <c r="T172" s="5">
        <f>Partidas!U172</f>
        <v>1</v>
      </c>
      <c r="U172" s="5">
        <f t="shared" si="46"/>
        <v>9</v>
      </c>
      <c r="V172" s="5" t="b">
        <f t="shared" si="47"/>
        <v>1</v>
      </c>
      <c r="W172" s="5" t="b">
        <f t="shared" si="48"/>
        <v>0</v>
      </c>
      <c r="X172" s="5">
        <f>Partidas!X172</f>
        <v>1</v>
      </c>
      <c r="Y172" s="5">
        <f>Partidas!Y172</f>
        <v>0</v>
      </c>
      <c r="Z172" s="5">
        <f>Partidas!AG172</f>
        <v>0</v>
      </c>
      <c r="AA172" s="5">
        <f>Partidas!AH172</f>
        <v>0</v>
      </c>
      <c r="AB172" s="5">
        <f t="shared" si="49"/>
        <v>1</v>
      </c>
      <c r="AC172" s="1" t="b">
        <f t="shared" si="50"/>
        <v>0</v>
      </c>
      <c r="AD172" s="1" t="b">
        <f t="shared" si="51"/>
        <v>0</v>
      </c>
      <c r="AE172" s="1" t="b">
        <f t="shared" si="52"/>
        <v>0</v>
      </c>
      <c r="AF172" s="1" t="str">
        <f>Partidas!W172</f>
        <v>ok</v>
      </c>
      <c r="AG172" s="1" t="str">
        <f>Partidas!AK172</f>
        <v>ok</v>
      </c>
      <c r="AH172" s="1" t="str">
        <f t="shared" si="53"/>
        <v>Fjelstul World Cup Database + FootyStats CSV</v>
      </c>
      <c r="AI172" s="1">
        <f>Partidas!AX172</f>
        <v>0</v>
      </c>
    </row>
    <row r="173" spans="1:35" ht="15" customHeight="1">
      <c r="A173" s="1" t="str">
        <f>Partidas!C173</f>
        <v>M-2014-44</v>
      </c>
      <c r="B173" s="4">
        <f>Partidas!F173</f>
        <v>41815</v>
      </c>
      <c r="C173" s="1">
        <f>Partidas!A173</f>
        <v>2014</v>
      </c>
      <c r="D173" s="1" t="str">
        <f>Partidas!H173</f>
        <v>Ecuador</v>
      </c>
      <c r="E173" s="1" t="str">
        <f>Partidas!I173</f>
        <v>France</v>
      </c>
      <c r="F173" s="5">
        <f>Partidas!J173</f>
        <v>0</v>
      </c>
      <c r="G173" s="5">
        <f>Partidas!K173</f>
        <v>0</v>
      </c>
      <c r="H173" s="1" t="str">
        <f>Partidas!M173</f>
        <v>D</v>
      </c>
      <c r="I173" s="5">
        <f t="shared" si="36"/>
        <v>0</v>
      </c>
      <c r="J173" s="1" t="b">
        <f t="shared" si="37"/>
        <v>0</v>
      </c>
      <c r="K173" s="1" t="b">
        <f t="shared" si="38"/>
        <v>0</v>
      </c>
      <c r="L173" s="1" t="b">
        <f t="shared" si="39"/>
        <v>0</v>
      </c>
      <c r="M173" s="1" t="b">
        <f t="shared" si="40"/>
        <v>1</v>
      </c>
      <c r="N173" s="1" t="b">
        <f t="shared" si="41"/>
        <v>1</v>
      </c>
      <c r="O173" s="1" t="b">
        <f t="shared" si="42"/>
        <v>0</v>
      </c>
      <c r="P173" s="1" t="b">
        <f t="shared" si="43"/>
        <v>1</v>
      </c>
      <c r="Q173" s="1" t="b">
        <f t="shared" si="44"/>
        <v>0</v>
      </c>
      <c r="R173" s="1" t="b">
        <f t="shared" si="45"/>
        <v>1</v>
      </c>
      <c r="S173" s="5">
        <f>Partidas!T173</f>
        <v>1</v>
      </c>
      <c r="T173" s="5">
        <f>Partidas!U173</f>
        <v>7</v>
      </c>
      <c r="U173" s="5">
        <f t="shared" si="46"/>
        <v>8</v>
      </c>
      <c r="V173" s="5" t="b">
        <f t="shared" si="47"/>
        <v>0</v>
      </c>
      <c r="W173" s="5" t="b">
        <f t="shared" si="48"/>
        <v>0</v>
      </c>
      <c r="X173" s="5">
        <f>Partidas!X173</f>
        <v>1</v>
      </c>
      <c r="Y173" s="5">
        <f>Partidas!Y173</f>
        <v>0</v>
      </c>
      <c r="Z173" s="5">
        <f>Partidas!AG173</f>
        <v>1</v>
      </c>
      <c r="AA173" s="5">
        <f>Partidas!AH173</f>
        <v>0</v>
      </c>
      <c r="AB173" s="5">
        <f t="shared" si="49"/>
        <v>2</v>
      </c>
      <c r="AC173" s="1" t="b">
        <f t="shared" si="50"/>
        <v>0</v>
      </c>
      <c r="AD173" s="1" t="b">
        <f t="shared" si="51"/>
        <v>0</v>
      </c>
      <c r="AE173" s="1" t="b">
        <f t="shared" si="52"/>
        <v>0</v>
      </c>
      <c r="AF173" s="1" t="str">
        <f>Partidas!W173</f>
        <v>ok</v>
      </c>
      <c r="AG173" s="1" t="str">
        <f>Partidas!AK173</f>
        <v>ok</v>
      </c>
      <c r="AH173" s="1" t="str">
        <f t="shared" si="53"/>
        <v>Fjelstul World Cup Database + FootyStats CSV</v>
      </c>
      <c r="AI173" s="1">
        <f>Partidas!AX173</f>
        <v>0</v>
      </c>
    </row>
    <row r="174" spans="1:35" ht="15" customHeight="1">
      <c r="A174" s="1" t="str">
        <f>Partidas!C174</f>
        <v>M-2014-45</v>
      </c>
      <c r="B174" s="4">
        <f>Partidas!F174</f>
        <v>41816</v>
      </c>
      <c r="C174" s="1">
        <f>Partidas!A174</f>
        <v>2014</v>
      </c>
      <c r="D174" s="1" t="str">
        <f>Partidas!H174</f>
        <v>Portugal</v>
      </c>
      <c r="E174" s="1" t="str">
        <f>Partidas!I174</f>
        <v>Ghana</v>
      </c>
      <c r="F174" s="5">
        <f>Partidas!J174</f>
        <v>2</v>
      </c>
      <c r="G174" s="5">
        <f>Partidas!K174</f>
        <v>1</v>
      </c>
      <c r="H174" s="1" t="str">
        <f>Partidas!M174</f>
        <v>H</v>
      </c>
      <c r="I174" s="5">
        <f t="shared" si="36"/>
        <v>3</v>
      </c>
      <c r="J174" s="1" t="b">
        <f t="shared" si="37"/>
        <v>1</v>
      </c>
      <c r="K174" s="1" t="b">
        <f t="shared" si="38"/>
        <v>1</v>
      </c>
      <c r="L174" s="1" t="b">
        <f t="shared" si="39"/>
        <v>0</v>
      </c>
      <c r="M174" s="1" t="b">
        <f t="shared" si="40"/>
        <v>0</v>
      </c>
      <c r="N174" s="1" t="b">
        <f t="shared" si="41"/>
        <v>1</v>
      </c>
      <c r="O174" s="1" t="b">
        <f t="shared" si="42"/>
        <v>1</v>
      </c>
      <c r="P174" s="1" t="b">
        <f t="shared" si="43"/>
        <v>1</v>
      </c>
      <c r="Q174" s="1" t="b">
        <f t="shared" si="44"/>
        <v>1</v>
      </c>
      <c r="R174" s="1" t="b">
        <f t="shared" si="45"/>
        <v>0</v>
      </c>
      <c r="S174" s="5">
        <f>Partidas!T174</f>
        <v>7</v>
      </c>
      <c r="T174" s="5">
        <f>Partidas!U174</f>
        <v>4</v>
      </c>
      <c r="U174" s="5">
        <f t="shared" si="46"/>
        <v>11</v>
      </c>
      <c r="V174" s="5" t="b">
        <f t="shared" si="47"/>
        <v>1</v>
      </c>
      <c r="W174" s="5" t="b">
        <f t="shared" si="48"/>
        <v>1</v>
      </c>
      <c r="X174" s="5">
        <f>Partidas!X174</f>
        <v>1</v>
      </c>
      <c r="Y174" s="5">
        <f>Partidas!Y174</f>
        <v>3</v>
      </c>
      <c r="Z174" s="5">
        <f>Partidas!AG174</f>
        <v>0</v>
      </c>
      <c r="AA174" s="5">
        <f>Partidas!AH174</f>
        <v>0</v>
      </c>
      <c r="AB174" s="5">
        <f t="shared" si="49"/>
        <v>4</v>
      </c>
      <c r="AC174" s="1" t="b">
        <f t="shared" si="50"/>
        <v>1</v>
      </c>
      <c r="AD174" s="1" t="b">
        <f t="shared" si="51"/>
        <v>0</v>
      </c>
      <c r="AE174" s="1" t="b">
        <f t="shared" si="52"/>
        <v>0</v>
      </c>
      <c r="AF174" s="1" t="str">
        <f>Partidas!W174</f>
        <v>ok</v>
      </c>
      <c r="AG174" s="1" t="str">
        <f>Partidas!AK174</f>
        <v>ok</v>
      </c>
      <c r="AH174" s="1" t="str">
        <f t="shared" si="53"/>
        <v>Fjelstul World Cup Database + FootyStats CSV</v>
      </c>
      <c r="AI174" s="1">
        <f>Partidas!AX174</f>
        <v>0</v>
      </c>
    </row>
    <row r="175" spans="1:35" ht="15" customHeight="1">
      <c r="A175" s="1" t="str">
        <f>Partidas!C175</f>
        <v>M-2014-46</v>
      </c>
      <c r="B175" s="4">
        <f>Partidas!F175</f>
        <v>41816</v>
      </c>
      <c r="C175" s="1">
        <f>Partidas!A175</f>
        <v>2014</v>
      </c>
      <c r="D175" s="1" t="str">
        <f>Partidas!H175</f>
        <v>United States</v>
      </c>
      <c r="E175" s="1" t="str">
        <f>Partidas!I175</f>
        <v>Germany</v>
      </c>
      <c r="F175" s="5">
        <f>Partidas!J175</f>
        <v>0</v>
      </c>
      <c r="G175" s="5">
        <f>Partidas!K175</f>
        <v>1</v>
      </c>
      <c r="H175" s="1" t="str">
        <f>Partidas!M175</f>
        <v>A</v>
      </c>
      <c r="I175" s="5">
        <f t="shared" si="36"/>
        <v>1</v>
      </c>
      <c r="J175" s="1" t="b">
        <f t="shared" si="37"/>
        <v>0</v>
      </c>
      <c r="K175" s="1" t="b">
        <f t="shared" si="38"/>
        <v>0</v>
      </c>
      <c r="L175" s="1" t="b">
        <f t="shared" si="39"/>
        <v>0</v>
      </c>
      <c r="M175" s="1" t="b">
        <f t="shared" si="40"/>
        <v>1</v>
      </c>
      <c r="N175" s="1" t="b">
        <f t="shared" si="41"/>
        <v>1</v>
      </c>
      <c r="O175" s="1" t="b">
        <f t="shared" si="42"/>
        <v>0</v>
      </c>
      <c r="P175" s="1" t="b">
        <f t="shared" si="43"/>
        <v>0</v>
      </c>
      <c r="Q175" s="1" t="b">
        <f t="shared" si="44"/>
        <v>1</v>
      </c>
      <c r="R175" s="1" t="b">
        <f t="shared" si="45"/>
        <v>1</v>
      </c>
      <c r="S175" s="5">
        <f>Partidas!T175</f>
        <v>2</v>
      </c>
      <c r="T175" s="5">
        <f>Partidas!U175</f>
        <v>3</v>
      </c>
      <c r="U175" s="5">
        <f t="shared" si="46"/>
        <v>5</v>
      </c>
      <c r="V175" s="5" t="b">
        <f t="shared" si="47"/>
        <v>0</v>
      </c>
      <c r="W175" s="5" t="b">
        <f t="shared" si="48"/>
        <v>0</v>
      </c>
      <c r="X175" s="5">
        <f>Partidas!X175</f>
        <v>2</v>
      </c>
      <c r="Y175" s="5">
        <f>Partidas!Y175</f>
        <v>1</v>
      </c>
      <c r="Z175" s="5">
        <f>Partidas!AG175</f>
        <v>0</v>
      </c>
      <c r="AA175" s="5">
        <f>Partidas!AH175</f>
        <v>0</v>
      </c>
      <c r="AB175" s="5">
        <f t="shared" si="49"/>
        <v>3</v>
      </c>
      <c r="AC175" s="1" t="b">
        <f t="shared" si="50"/>
        <v>0</v>
      </c>
      <c r="AD175" s="1" t="b">
        <f t="shared" si="51"/>
        <v>0</v>
      </c>
      <c r="AE175" s="1" t="b">
        <f t="shared" si="52"/>
        <v>0</v>
      </c>
      <c r="AF175" s="1" t="str">
        <f>Partidas!W175</f>
        <v>ok</v>
      </c>
      <c r="AG175" s="1" t="str">
        <f>Partidas!AK175</f>
        <v>ok</v>
      </c>
      <c r="AH175" s="1" t="str">
        <f t="shared" si="53"/>
        <v>Fjelstul World Cup Database + FootyStats CSV</v>
      </c>
      <c r="AI175" s="1">
        <f>Partidas!AX175</f>
        <v>0</v>
      </c>
    </row>
    <row r="176" spans="1:35" ht="15" customHeight="1">
      <c r="A176" s="1" t="str">
        <f>Partidas!C176</f>
        <v>M-2014-47</v>
      </c>
      <c r="B176" s="4">
        <f>Partidas!F176</f>
        <v>41816</v>
      </c>
      <c r="C176" s="1">
        <f>Partidas!A176</f>
        <v>2014</v>
      </c>
      <c r="D176" s="1" t="str">
        <f>Partidas!H176</f>
        <v>Algeria</v>
      </c>
      <c r="E176" s="1" t="str">
        <f>Partidas!I176</f>
        <v>Russia</v>
      </c>
      <c r="F176" s="5">
        <f>Partidas!J176</f>
        <v>1</v>
      </c>
      <c r="G176" s="5">
        <f>Partidas!K176</f>
        <v>1</v>
      </c>
      <c r="H176" s="1" t="str">
        <f>Partidas!M176</f>
        <v>D</v>
      </c>
      <c r="I176" s="5">
        <f t="shared" si="36"/>
        <v>2</v>
      </c>
      <c r="J176" s="1" t="b">
        <f t="shared" si="37"/>
        <v>1</v>
      </c>
      <c r="K176" s="1" t="b">
        <f t="shared" si="38"/>
        <v>0</v>
      </c>
      <c r="L176" s="1" t="b">
        <f t="shared" si="39"/>
        <v>0</v>
      </c>
      <c r="M176" s="1" t="b">
        <f t="shared" si="40"/>
        <v>1</v>
      </c>
      <c r="N176" s="1" t="b">
        <f t="shared" si="41"/>
        <v>1</v>
      </c>
      <c r="O176" s="1" t="b">
        <f t="shared" si="42"/>
        <v>1</v>
      </c>
      <c r="P176" s="1" t="b">
        <f t="shared" si="43"/>
        <v>1</v>
      </c>
      <c r="Q176" s="1" t="b">
        <f t="shared" si="44"/>
        <v>0</v>
      </c>
      <c r="R176" s="1" t="b">
        <f t="shared" si="45"/>
        <v>1</v>
      </c>
      <c r="S176" s="5">
        <f>Partidas!T176</f>
        <v>3</v>
      </c>
      <c r="T176" s="5">
        <f>Partidas!U176</f>
        <v>4</v>
      </c>
      <c r="U176" s="5">
        <f t="shared" si="46"/>
        <v>7</v>
      </c>
      <c r="V176" s="5" t="b">
        <f t="shared" si="47"/>
        <v>0</v>
      </c>
      <c r="W176" s="5" t="b">
        <f t="shared" si="48"/>
        <v>0</v>
      </c>
      <c r="X176" s="5">
        <f>Partidas!X176</f>
        <v>3</v>
      </c>
      <c r="Y176" s="5">
        <f>Partidas!Y176</f>
        <v>2</v>
      </c>
      <c r="Z176" s="5">
        <f>Partidas!AG176</f>
        <v>0</v>
      </c>
      <c r="AA176" s="5">
        <f>Partidas!AH176</f>
        <v>0</v>
      </c>
      <c r="AB176" s="5">
        <f t="shared" si="49"/>
        <v>5</v>
      </c>
      <c r="AC176" s="1" t="b">
        <f t="shared" si="50"/>
        <v>1</v>
      </c>
      <c r="AD176" s="1" t="b">
        <f t="shared" si="51"/>
        <v>1</v>
      </c>
      <c r="AE176" s="1" t="b">
        <f t="shared" si="52"/>
        <v>0</v>
      </c>
      <c r="AF176" s="1" t="str">
        <f>Partidas!W176</f>
        <v>ok</v>
      </c>
      <c r="AG176" s="1" t="str">
        <f>Partidas!AK176</f>
        <v>ok</v>
      </c>
      <c r="AH176" s="1" t="str">
        <f t="shared" si="53"/>
        <v>Fjelstul World Cup Database + FootyStats CSV</v>
      </c>
      <c r="AI176" s="1">
        <f>Partidas!AX176</f>
        <v>0</v>
      </c>
    </row>
    <row r="177" spans="1:35" ht="15" customHeight="1">
      <c r="A177" s="1" t="str">
        <f>Partidas!C177</f>
        <v>M-2014-48</v>
      </c>
      <c r="B177" s="4">
        <f>Partidas!F177</f>
        <v>41816</v>
      </c>
      <c r="C177" s="1">
        <f>Partidas!A177</f>
        <v>2014</v>
      </c>
      <c r="D177" s="1" t="str">
        <f>Partidas!H177</f>
        <v>South Korea</v>
      </c>
      <c r="E177" s="1" t="str">
        <f>Partidas!I177</f>
        <v>Belgium</v>
      </c>
      <c r="F177" s="5">
        <f>Partidas!J177</f>
        <v>0</v>
      </c>
      <c r="G177" s="5">
        <f>Partidas!K177</f>
        <v>1</v>
      </c>
      <c r="H177" s="1" t="str">
        <f>Partidas!M177</f>
        <v>A</v>
      </c>
      <c r="I177" s="5">
        <f t="shared" si="36"/>
        <v>1</v>
      </c>
      <c r="J177" s="1" t="b">
        <f t="shared" si="37"/>
        <v>0</v>
      </c>
      <c r="K177" s="1" t="b">
        <f t="shared" si="38"/>
        <v>0</v>
      </c>
      <c r="L177" s="1" t="b">
        <f t="shared" si="39"/>
        <v>0</v>
      </c>
      <c r="M177" s="1" t="b">
        <f t="shared" si="40"/>
        <v>1</v>
      </c>
      <c r="N177" s="1" t="b">
        <f t="shared" si="41"/>
        <v>1</v>
      </c>
      <c r="O177" s="1" t="b">
        <f t="shared" si="42"/>
        <v>0</v>
      </c>
      <c r="P177" s="1" t="b">
        <f t="shared" si="43"/>
        <v>0</v>
      </c>
      <c r="Q177" s="1" t="b">
        <f t="shared" si="44"/>
        <v>1</v>
      </c>
      <c r="R177" s="1" t="b">
        <f t="shared" si="45"/>
        <v>1</v>
      </c>
      <c r="S177" s="5">
        <f>Partidas!T177</f>
        <v>7</v>
      </c>
      <c r="T177" s="5">
        <f>Partidas!U177</f>
        <v>4</v>
      </c>
      <c r="U177" s="5">
        <f t="shared" si="46"/>
        <v>11</v>
      </c>
      <c r="V177" s="5" t="b">
        <f t="shared" si="47"/>
        <v>1</v>
      </c>
      <c r="W177" s="5" t="b">
        <f t="shared" si="48"/>
        <v>1</v>
      </c>
      <c r="X177" s="5">
        <f>Partidas!X177</f>
        <v>1</v>
      </c>
      <c r="Y177" s="5">
        <f>Partidas!Y177</f>
        <v>1</v>
      </c>
      <c r="Z177" s="5">
        <f>Partidas!AG177</f>
        <v>0</v>
      </c>
      <c r="AA177" s="5">
        <f>Partidas!AH177</f>
        <v>1</v>
      </c>
      <c r="AB177" s="5">
        <f t="shared" si="49"/>
        <v>3</v>
      </c>
      <c r="AC177" s="1" t="b">
        <f t="shared" si="50"/>
        <v>0</v>
      </c>
      <c r="AD177" s="1" t="b">
        <f t="shared" si="51"/>
        <v>0</v>
      </c>
      <c r="AE177" s="1" t="b">
        <f t="shared" si="52"/>
        <v>0</v>
      </c>
      <c r="AF177" s="1" t="str">
        <f>Partidas!W177</f>
        <v>ok</v>
      </c>
      <c r="AG177" s="1" t="str">
        <f>Partidas!AK177</f>
        <v>ok</v>
      </c>
      <c r="AH177" s="1" t="str">
        <f t="shared" si="53"/>
        <v>Fjelstul World Cup Database + FootyStats CSV</v>
      </c>
      <c r="AI177" s="1">
        <f>Partidas!AX177</f>
        <v>0</v>
      </c>
    </row>
    <row r="178" spans="1:35" ht="15" customHeight="1">
      <c r="A178" s="1" t="str">
        <f>Partidas!C178</f>
        <v>M-2014-49</v>
      </c>
      <c r="B178" s="4">
        <f>Partidas!F178</f>
        <v>41818</v>
      </c>
      <c r="C178" s="1">
        <f>Partidas!A178</f>
        <v>2014</v>
      </c>
      <c r="D178" s="1" t="str">
        <f>Partidas!H178</f>
        <v>Brazil</v>
      </c>
      <c r="E178" s="1" t="str">
        <f>Partidas!I178</f>
        <v>Chile</v>
      </c>
      <c r="F178" s="5">
        <f>Partidas!J178</f>
        <v>1</v>
      </c>
      <c r="G178" s="5">
        <f>Partidas!K178</f>
        <v>1</v>
      </c>
      <c r="H178" s="1" t="str">
        <f>Partidas!M178</f>
        <v>D</v>
      </c>
      <c r="I178" s="5">
        <f t="shared" si="36"/>
        <v>2</v>
      </c>
      <c r="J178" s="1" t="b">
        <f t="shared" si="37"/>
        <v>1</v>
      </c>
      <c r="K178" s="1" t="b">
        <f t="shared" si="38"/>
        <v>0</v>
      </c>
      <c r="L178" s="1" t="b">
        <f t="shared" si="39"/>
        <v>0</v>
      </c>
      <c r="M178" s="1" t="b">
        <f t="shared" si="40"/>
        <v>1</v>
      </c>
      <c r="N178" s="1" t="b">
        <f t="shared" si="41"/>
        <v>1</v>
      </c>
      <c r="O178" s="1" t="b">
        <f t="shared" si="42"/>
        <v>1</v>
      </c>
      <c r="P178" s="1" t="b">
        <f t="shared" si="43"/>
        <v>1</v>
      </c>
      <c r="Q178" s="1" t="b">
        <f t="shared" si="44"/>
        <v>0</v>
      </c>
      <c r="R178" s="1" t="b">
        <f t="shared" si="45"/>
        <v>1</v>
      </c>
      <c r="S178" s="5">
        <f>Partidas!T178</f>
        <v>9</v>
      </c>
      <c r="T178" s="5">
        <f>Partidas!U178</f>
        <v>5</v>
      </c>
      <c r="U178" s="5">
        <f t="shared" si="46"/>
        <v>14</v>
      </c>
      <c r="V178" s="5" t="b">
        <f t="shared" si="47"/>
        <v>1</v>
      </c>
      <c r="W178" s="5" t="b">
        <f t="shared" si="48"/>
        <v>1</v>
      </c>
      <c r="X178" s="5">
        <f>Partidas!X178</f>
        <v>4</v>
      </c>
      <c r="Y178" s="5">
        <f>Partidas!Y178</f>
        <v>3</v>
      </c>
      <c r="Z178" s="5">
        <f>Partidas!AG178</f>
        <v>0</v>
      </c>
      <c r="AA178" s="5">
        <f>Partidas!AH178</f>
        <v>0</v>
      </c>
      <c r="AB178" s="5">
        <f t="shared" si="49"/>
        <v>7</v>
      </c>
      <c r="AC178" s="1" t="b">
        <f t="shared" si="50"/>
        <v>1</v>
      </c>
      <c r="AD178" s="1" t="b">
        <f t="shared" si="51"/>
        <v>1</v>
      </c>
      <c r="AE178" s="1" t="b">
        <f t="shared" si="52"/>
        <v>1</v>
      </c>
      <c r="AF178" s="1" t="str">
        <f>Partidas!W178</f>
        <v>ok</v>
      </c>
      <c r="AG178" s="1" t="str">
        <f>Partidas!AK178</f>
        <v>ok</v>
      </c>
      <c r="AH178" s="1" t="str">
        <f t="shared" si="53"/>
        <v>Fjelstul World Cup Database + FootyStats CSV</v>
      </c>
      <c r="AI178" s="1">
        <f>Partidas!AX178</f>
        <v>0</v>
      </c>
    </row>
    <row r="179" spans="1:35" ht="15" customHeight="1">
      <c r="A179" s="1" t="str">
        <f>Partidas!C179</f>
        <v>M-2014-50</v>
      </c>
      <c r="B179" s="4">
        <f>Partidas!F179</f>
        <v>41818</v>
      </c>
      <c r="C179" s="1">
        <f>Partidas!A179</f>
        <v>2014</v>
      </c>
      <c r="D179" s="1" t="str">
        <f>Partidas!H179</f>
        <v>Colombia</v>
      </c>
      <c r="E179" s="1" t="str">
        <f>Partidas!I179</f>
        <v>Uruguay</v>
      </c>
      <c r="F179" s="5">
        <f>Partidas!J179</f>
        <v>2</v>
      </c>
      <c r="G179" s="5">
        <f>Partidas!K179</f>
        <v>0</v>
      </c>
      <c r="H179" s="1" t="str">
        <f>Partidas!M179</f>
        <v>H</v>
      </c>
      <c r="I179" s="5">
        <f t="shared" si="36"/>
        <v>2</v>
      </c>
      <c r="J179" s="1" t="b">
        <f t="shared" si="37"/>
        <v>1</v>
      </c>
      <c r="K179" s="1" t="b">
        <f t="shared" si="38"/>
        <v>0</v>
      </c>
      <c r="L179" s="1" t="b">
        <f t="shared" si="39"/>
        <v>0</v>
      </c>
      <c r="M179" s="1" t="b">
        <f t="shared" si="40"/>
        <v>1</v>
      </c>
      <c r="N179" s="1" t="b">
        <f t="shared" si="41"/>
        <v>1</v>
      </c>
      <c r="O179" s="1" t="b">
        <f t="shared" si="42"/>
        <v>0</v>
      </c>
      <c r="P179" s="1" t="b">
        <f t="shared" si="43"/>
        <v>1</v>
      </c>
      <c r="Q179" s="1" t="b">
        <f t="shared" si="44"/>
        <v>1</v>
      </c>
      <c r="R179" s="1" t="b">
        <f t="shared" si="45"/>
        <v>0</v>
      </c>
      <c r="S179" s="5">
        <f>Partidas!T179</f>
        <v>3</v>
      </c>
      <c r="T179" s="5">
        <f>Partidas!U179</f>
        <v>5</v>
      </c>
      <c r="U179" s="5">
        <f t="shared" si="46"/>
        <v>8</v>
      </c>
      <c r="V179" s="5" t="b">
        <f t="shared" si="47"/>
        <v>0</v>
      </c>
      <c r="W179" s="5" t="b">
        <f t="shared" si="48"/>
        <v>0</v>
      </c>
      <c r="X179" s="5">
        <f>Partidas!X179</f>
        <v>1</v>
      </c>
      <c r="Y179" s="5">
        <f>Partidas!Y179</f>
        <v>2</v>
      </c>
      <c r="Z179" s="5">
        <f>Partidas!AG179</f>
        <v>0</v>
      </c>
      <c r="AA179" s="5">
        <f>Partidas!AH179</f>
        <v>0</v>
      </c>
      <c r="AB179" s="5">
        <f t="shared" si="49"/>
        <v>3</v>
      </c>
      <c r="AC179" s="1" t="b">
        <f t="shared" si="50"/>
        <v>0</v>
      </c>
      <c r="AD179" s="1" t="b">
        <f t="shared" si="51"/>
        <v>0</v>
      </c>
      <c r="AE179" s="1" t="b">
        <f t="shared" si="52"/>
        <v>0</v>
      </c>
      <c r="AF179" s="1" t="str">
        <f>Partidas!W179</f>
        <v>ok</v>
      </c>
      <c r="AG179" s="1" t="str">
        <f>Partidas!AK179</f>
        <v>ok</v>
      </c>
      <c r="AH179" s="1" t="str">
        <f t="shared" si="53"/>
        <v>Fjelstul World Cup Database + FootyStats CSV</v>
      </c>
      <c r="AI179" s="1">
        <f>Partidas!AX179</f>
        <v>0</v>
      </c>
    </row>
    <row r="180" spans="1:35" ht="15" customHeight="1">
      <c r="A180" s="1" t="str">
        <f>Partidas!C180</f>
        <v>M-2014-51</v>
      </c>
      <c r="B180" s="4">
        <f>Partidas!F180</f>
        <v>41819</v>
      </c>
      <c r="C180" s="1">
        <f>Partidas!A180</f>
        <v>2014</v>
      </c>
      <c r="D180" s="1" t="str">
        <f>Partidas!H180</f>
        <v>Netherlands</v>
      </c>
      <c r="E180" s="1" t="str">
        <f>Partidas!I180</f>
        <v>Mexico</v>
      </c>
      <c r="F180" s="5">
        <f>Partidas!J180</f>
        <v>2</v>
      </c>
      <c r="G180" s="5">
        <f>Partidas!K180</f>
        <v>1</v>
      </c>
      <c r="H180" s="1" t="str">
        <f>Partidas!M180</f>
        <v>H</v>
      </c>
      <c r="I180" s="5">
        <f t="shared" si="36"/>
        <v>3</v>
      </c>
      <c r="J180" s="1" t="b">
        <f t="shared" si="37"/>
        <v>1</v>
      </c>
      <c r="K180" s="1" t="b">
        <f t="shared" si="38"/>
        <v>1</v>
      </c>
      <c r="L180" s="1" t="b">
        <f t="shared" si="39"/>
        <v>0</v>
      </c>
      <c r="M180" s="1" t="b">
        <f t="shared" si="40"/>
        <v>0</v>
      </c>
      <c r="N180" s="1" t="b">
        <f t="shared" si="41"/>
        <v>1</v>
      </c>
      <c r="O180" s="1" t="b">
        <f t="shared" si="42"/>
        <v>1</v>
      </c>
      <c r="P180" s="1" t="b">
        <f t="shared" si="43"/>
        <v>1</v>
      </c>
      <c r="Q180" s="1" t="b">
        <f t="shared" si="44"/>
        <v>1</v>
      </c>
      <c r="R180" s="1" t="b">
        <f t="shared" si="45"/>
        <v>0</v>
      </c>
      <c r="S180" s="5">
        <f>Partidas!T180</f>
        <v>10</v>
      </c>
      <c r="T180" s="5">
        <f>Partidas!U180</f>
        <v>2</v>
      </c>
      <c r="U180" s="5">
        <f t="shared" si="46"/>
        <v>12</v>
      </c>
      <c r="V180" s="5" t="b">
        <f t="shared" si="47"/>
        <v>1</v>
      </c>
      <c r="W180" s="5" t="b">
        <f t="shared" si="48"/>
        <v>1</v>
      </c>
      <c r="X180" s="5">
        <f>Partidas!X180</f>
        <v>0</v>
      </c>
      <c r="Y180" s="5">
        <f>Partidas!Y180</f>
        <v>3</v>
      </c>
      <c r="Z180" s="5">
        <f>Partidas!AG180</f>
        <v>0</v>
      </c>
      <c r="AA180" s="5">
        <f>Partidas!AH180</f>
        <v>0</v>
      </c>
      <c r="AB180" s="5">
        <f t="shared" si="49"/>
        <v>3</v>
      </c>
      <c r="AC180" s="1" t="b">
        <f t="shared" si="50"/>
        <v>0</v>
      </c>
      <c r="AD180" s="1" t="b">
        <f t="shared" si="51"/>
        <v>0</v>
      </c>
      <c r="AE180" s="1" t="b">
        <f t="shared" si="52"/>
        <v>0</v>
      </c>
      <c r="AF180" s="1" t="str">
        <f>Partidas!W180</f>
        <v>ok</v>
      </c>
      <c r="AG180" s="1" t="str">
        <f>Partidas!AK180</f>
        <v>ok</v>
      </c>
      <c r="AH180" s="1" t="str">
        <f t="shared" si="53"/>
        <v>Fjelstul World Cup Database + FootyStats CSV</v>
      </c>
      <c r="AI180" s="1">
        <f>Partidas!AX180</f>
        <v>0</v>
      </c>
    </row>
    <row r="181" spans="1:35" ht="15" customHeight="1">
      <c r="A181" s="1" t="str">
        <f>Partidas!C181</f>
        <v>M-2014-52</v>
      </c>
      <c r="B181" s="4">
        <f>Partidas!F181</f>
        <v>41819</v>
      </c>
      <c r="C181" s="1">
        <f>Partidas!A181</f>
        <v>2014</v>
      </c>
      <c r="D181" s="1" t="str">
        <f>Partidas!H181</f>
        <v>Costa Rica</v>
      </c>
      <c r="E181" s="1" t="str">
        <f>Partidas!I181</f>
        <v>Greece</v>
      </c>
      <c r="F181" s="5">
        <f>Partidas!J181</f>
        <v>1</v>
      </c>
      <c r="G181" s="5">
        <f>Partidas!K181</f>
        <v>1</v>
      </c>
      <c r="H181" s="1" t="str">
        <f>Partidas!M181</f>
        <v>D</v>
      </c>
      <c r="I181" s="5">
        <f t="shared" si="36"/>
        <v>2</v>
      </c>
      <c r="J181" s="1" t="b">
        <f t="shared" si="37"/>
        <v>1</v>
      </c>
      <c r="K181" s="1" t="b">
        <f t="shared" si="38"/>
        <v>0</v>
      </c>
      <c r="L181" s="1" t="b">
        <f t="shared" si="39"/>
        <v>0</v>
      </c>
      <c r="M181" s="1" t="b">
        <f t="shared" si="40"/>
        <v>1</v>
      </c>
      <c r="N181" s="1" t="b">
        <f t="shared" si="41"/>
        <v>1</v>
      </c>
      <c r="O181" s="1" t="b">
        <f t="shared" si="42"/>
        <v>1</v>
      </c>
      <c r="P181" s="1" t="b">
        <f t="shared" si="43"/>
        <v>1</v>
      </c>
      <c r="Q181" s="1" t="b">
        <f t="shared" si="44"/>
        <v>0</v>
      </c>
      <c r="R181" s="1" t="b">
        <f t="shared" si="45"/>
        <v>1</v>
      </c>
      <c r="S181" s="5">
        <f>Partidas!T181</f>
        <v>3</v>
      </c>
      <c r="T181" s="5">
        <f>Partidas!U181</f>
        <v>11</v>
      </c>
      <c r="U181" s="5">
        <f t="shared" si="46"/>
        <v>14</v>
      </c>
      <c r="V181" s="5" t="b">
        <f t="shared" si="47"/>
        <v>1</v>
      </c>
      <c r="W181" s="5" t="b">
        <f t="shared" si="48"/>
        <v>1</v>
      </c>
      <c r="X181" s="5">
        <f>Partidas!X181</f>
        <v>5</v>
      </c>
      <c r="Y181" s="5">
        <f>Partidas!Y181</f>
        <v>2</v>
      </c>
      <c r="Z181" s="5">
        <f>Partidas!AG181</f>
        <v>1</v>
      </c>
      <c r="AA181" s="5">
        <f>Partidas!AH181</f>
        <v>0</v>
      </c>
      <c r="AB181" s="5">
        <f t="shared" si="49"/>
        <v>8</v>
      </c>
      <c r="AC181" s="1" t="b">
        <f t="shared" si="50"/>
        <v>1</v>
      </c>
      <c r="AD181" s="1" t="b">
        <f t="shared" si="51"/>
        <v>1</v>
      </c>
      <c r="AE181" s="1" t="b">
        <f t="shared" si="52"/>
        <v>1</v>
      </c>
      <c r="AF181" s="1" t="str">
        <f>Partidas!W181</f>
        <v>ok</v>
      </c>
      <c r="AG181" s="1" t="str">
        <f>Partidas!AK181</f>
        <v>ok</v>
      </c>
      <c r="AH181" s="1" t="str">
        <f t="shared" si="53"/>
        <v>Fjelstul World Cup Database + FootyStats CSV</v>
      </c>
      <c r="AI181" s="1">
        <f>Partidas!AX181</f>
        <v>0</v>
      </c>
    </row>
    <row r="182" spans="1:35" ht="15" customHeight="1">
      <c r="A182" s="1" t="str">
        <f>Partidas!C182</f>
        <v>M-2014-53</v>
      </c>
      <c r="B182" s="4">
        <f>Partidas!F182</f>
        <v>41820</v>
      </c>
      <c r="C182" s="1">
        <f>Partidas!A182</f>
        <v>2014</v>
      </c>
      <c r="D182" s="1" t="str">
        <f>Partidas!H182</f>
        <v>France</v>
      </c>
      <c r="E182" s="1" t="str">
        <f>Partidas!I182</f>
        <v>Nigeria</v>
      </c>
      <c r="F182" s="5">
        <f>Partidas!J182</f>
        <v>2</v>
      </c>
      <c r="G182" s="5">
        <f>Partidas!K182</f>
        <v>0</v>
      </c>
      <c r="H182" s="1" t="str">
        <f>Partidas!M182</f>
        <v>H</v>
      </c>
      <c r="I182" s="5">
        <f t="shared" si="36"/>
        <v>2</v>
      </c>
      <c r="J182" s="1" t="b">
        <f t="shared" si="37"/>
        <v>1</v>
      </c>
      <c r="K182" s="1" t="b">
        <f t="shared" si="38"/>
        <v>0</v>
      </c>
      <c r="L182" s="1" t="b">
        <f t="shared" si="39"/>
        <v>0</v>
      </c>
      <c r="M182" s="1" t="b">
        <f t="shared" si="40"/>
        <v>1</v>
      </c>
      <c r="N182" s="1" t="b">
        <f t="shared" si="41"/>
        <v>1</v>
      </c>
      <c r="O182" s="1" t="b">
        <f t="shared" si="42"/>
        <v>0</v>
      </c>
      <c r="P182" s="1" t="b">
        <f t="shared" si="43"/>
        <v>1</v>
      </c>
      <c r="Q182" s="1" t="b">
        <f t="shared" si="44"/>
        <v>1</v>
      </c>
      <c r="R182" s="1" t="b">
        <f t="shared" si="45"/>
        <v>0</v>
      </c>
      <c r="S182" s="5">
        <f>Partidas!T182</f>
        <v>12</v>
      </c>
      <c r="T182" s="5">
        <f>Partidas!U182</f>
        <v>9</v>
      </c>
      <c r="U182" s="5">
        <f t="shared" si="46"/>
        <v>21</v>
      </c>
      <c r="V182" s="5" t="b">
        <f t="shared" si="47"/>
        <v>1</v>
      </c>
      <c r="W182" s="5" t="b">
        <f t="shared" si="48"/>
        <v>1</v>
      </c>
      <c r="X182" s="5">
        <f>Partidas!X182</f>
        <v>1</v>
      </c>
      <c r="Y182" s="5">
        <f>Partidas!Y182</f>
        <v>0</v>
      </c>
      <c r="Z182" s="5">
        <f>Partidas!AG182</f>
        <v>0</v>
      </c>
      <c r="AA182" s="5">
        <f>Partidas!AH182</f>
        <v>0</v>
      </c>
      <c r="AB182" s="5">
        <f t="shared" si="49"/>
        <v>1</v>
      </c>
      <c r="AC182" s="1" t="b">
        <f t="shared" si="50"/>
        <v>0</v>
      </c>
      <c r="AD182" s="1" t="b">
        <f t="shared" si="51"/>
        <v>0</v>
      </c>
      <c r="AE182" s="1" t="b">
        <f t="shared" si="52"/>
        <v>0</v>
      </c>
      <c r="AF182" s="1" t="str">
        <f>Partidas!W182</f>
        <v>ok</v>
      </c>
      <c r="AG182" s="1" t="str">
        <f>Partidas!AK182</f>
        <v>ok</v>
      </c>
      <c r="AH182" s="1" t="str">
        <f t="shared" si="53"/>
        <v>Fjelstul World Cup Database + FootyStats CSV</v>
      </c>
      <c r="AI182" s="1">
        <f>Partidas!AX182</f>
        <v>0</v>
      </c>
    </row>
    <row r="183" spans="1:35" ht="15" customHeight="1">
      <c r="A183" s="1" t="str">
        <f>Partidas!C183</f>
        <v>M-2014-54</v>
      </c>
      <c r="B183" s="4">
        <f>Partidas!F183</f>
        <v>41820</v>
      </c>
      <c r="C183" s="1">
        <f>Partidas!A183</f>
        <v>2014</v>
      </c>
      <c r="D183" s="1" t="str">
        <f>Partidas!H183</f>
        <v>Germany</v>
      </c>
      <c r="E183" s="1" t="str">
        <f>Partidas!I183</f>
        <v>Algeria</v>
      </c>
      <c r="F183" s="5">
        <f>Partidas!J183</f>
        <v>2</v>
      </c>
      <c r="G183" s="5">
        <f>Partidas!K183</f>
        <v>1</v>
      </c>
      <c r="H183" s="1" t="str">
        <f>Partidas!M183</f>
        <v>H</v>
      </c>
      <c r="I183" s="5">
        <f t="shared" si="36"/>
        <v>3</v>
      </c>
      <c r="J183" s="1" t="b">
        <f t="shared" si="37"/>
        <v>1</v>
      </c>
      <c r="K183" s="1" t="b">
        <f t="shared" si="38"/>
        <v>1</v>
      </c>
      <c r="L183" s="1" t="b">
        <f t="shared" si="39"/>
        <v>0</v>
      </c>
      <c r="M183" s="1" t="b">
        <f t="shared" si="40"/>
        <v>0</v>
      </c>
      <c r="N183" s="1" t="b">
        <f t="shared" si="41"/>
        <v>1</v>
      </c>
      <c r="O183" s="1" t="b">
        <f t="shared" si="42"/>
        <v>1</v>
      </c>
      <c r="P183" s="1" t="b">
        <f t="shared" si="43"/>
        <v>1</v>
      </c>
      <c r="Q183" s="1" t="b">
        <f t="shared" si="44"/>
        <v>1</v>
      </c>
      <c r="R183" s="1" t="b">
        <f t="shared" si="45"/>
        <v>0</v>
      </c>
      <c r="S183" s="5">
        <f>Partidas!T183</f>
        <v>10</v>
      </c>
      <c r="T183" s="5">
        <f>Partidas!U183</f>
        <v>4</v>
      </c>
      <c r="U183" s="5">
        <f t="shared" si="46"/>
        <v>14</v>
      </c>
      <c r="V183" s="5" t="b">
        <f t="shared" si="47"/>
        <v>1</v>
      </c>
      <c r="W183" s="5" t="b">
        <f t="shared" si="48"/>
        <v>1</v>
      </c>
      <c r="X183" s="5">
        <f>Partidas!X183</f>
        <v>1</v>
      </c>
      <c r="Y183" s="5">
        <f>Partidas!Y183</f>
        <v>1</v>
      </c>
      <c r="Z183" s="5">
        <f>Partidas!AG183</f>
        <v>0</v>
      </c>
      <c r="AA183" s="5">
        <f>Partidas!AH183</f>
        <v>0</v>
      </c>
      <c r="AB183" s="5">
        <f t="shared" si="49"/>
        <v>2</v>
      </c>
      <c r="AC183" s="1" t="b">
        <f t="shared" si="50"/>
        <v>0</v>
      </c>
      <c r="AD183" s="1" t="b">
        <f t="shared" si="51"/>
        <v>0</v>
      </c>
      <c r="AE183" s="1" t="b">
        <f t="shared" si="52"/>
        <v>0</v>
      </c>
      <c r="AF183" s="1" t="str">
        <f>Partidas!W183</f>
        <v>ok</v>
      </c>
      <c r="AG183" s="1" t="str">
        <f>Partidas!AK183</f>
        <v>ok</v>
      </c>
      <c r="AH183" s="1" t="str">
        <f t="shared" si="53"/>
        <v>Fjelstul World Cup Database + FootyStats CSV</v>
      </c>
      <c r="AI183" s="1">
        <f>Partidas!AX183</f>
        <v>0</v>
      </c>
    </row>
    <row r="184" spans="1:35" ht="15" customHeight="1">
      <c r="A184" s="1" t="str">
        <f>Partidas!C184</f>
        <v>M-2014-55</v>
      </c>
      <c r="B184" s="4">
        <f>Partidas!F184</f>
        <v>41821</v>
      </c>
      <c r="C184" s="1">
        <f>Partidas!A184</f>
        <v>2014</v>
      </c>
      <c r="D184" s="1" t="str">
        <f>Partidas!H184</f>
        <v>Argentina</v>
      </c>
      <c r="E184" s="1" t="str">
        <f>Partidas!I184</f>
        <v>Switzerland</v>
      </c>
      <c r="F184" s="5">
        <f>Partidas!J184</f>
        <v>1</v>
      </c>
      <c r="G184" s="5">
        <f>Partidas!K184</f>
        <v>0</v>
      </c>
      <c r="H184" s="1" t="str">
        <f>Partidas!M184</f>
        <v>H</v>
      </c>
      <c r="I184" s="5">
        <f t="shared" si="36"/>
        <v>1</v>
      </c>
      <c r="J184" s="1" t="b">
        <f t="shared" si="37"/>
        <v>0</v>
      </c>
      <c r="K184" s="1" t="b">
        <f t="shared" si="38"/>
        <v>0</v>
      </c>
      <c r="L184" s="1" t="b">
        <f t="shared" si="39"/>
        <v>0</v>
      </c>
      <c r="M184" s="1" t="b">
        <f t="shared" si="40"/>
        <v>1</v>
      </c>
      <c r="N184" s="1" t="b">
        <f t="shared" si="41"/>
        <v>1</v>
      </c>
      <c r="O184" s="1" t="b">
        <f t="shared" si="42"/>
        <v>0</v>
      </c>
      <c r="P184" s="1" t="b">
        <f t="shared" si="43"/>
        <v>1</v>
      </c>
      <c r="Q184" s="1" t="b">
        <f t="shared" si="44"/>
        <v>1</v>
      </c>
      <c r="R184" s="1" t="b">
        <f t="shared" si="45"/>
        <v>0</v>
      </c>
      <c r="S184" s="5">
        <f>Partidas!T184</f>
        <v>13</v>
      </c>
      <c r="T184" s="5">
        <f>Partidas!U184</f>
        <v>5</v>
      </c>
      <c r="U184" s="5">
        <f t="shared" si="46"/>
        <v>18</v>
      </c>
      <c r="V184" s="5" t="b">
        <f t="shared" si="47"/>
        <v>1</v>
      </c>
      <c r="W184" s="5" t="b">
        <f t="shared" si="48"/>
        <v>1</v>
      </c>
      <c r="X184" s="5">
        <f>Partidas!X184</f>
        <v>3</v>
      </c>
      <c r="Y184" s="5">
        <f>Partidas!Y184</f>
        <v>2</v>
      </c>
      <c r="Z184" s="5">
        <f>Partidas!AG184</f>
        <v>0</v>
      </c>
      <c r="AA184" s="5">
        <f>Partidas!AH184</f>
        <v>0</v>
      </c>
      <c r="AB184" s="5">
        <f t="shared" si="49"/>
        <v>5</v>
      </c>
      <c r="AC184" s="1" t="b">
        <f t="shared" si="50"/>
        <v>1</v>
      </c>
      <c r="AD184" s="1" t="b">
        <f t="shared" si="51"/>
        <v>1</v>
      </c>
      <c r="AE184" s="1" t="b">
        <f t="shared" si="52"/>
        <v>0</v>
      </c>
      <c r="AF184" s="1" t="str">
        <f>Partidas!W184</f>
        <v>ok</v>
      </c>
      <c r="AG184" s="1" t="str">
        <f>Partidas!AK184</f>
        <v>ok</v>
      </c>
      <c r="AH184" s="1" t="str">
        <f t="shared" si="53"/>
        <v>Fjelstul World Cup Database + FootyStats CSV</v>
      </c>
      <c r="AI184" s="1">
        <f>Partidas!AX184</f>
        <v>0</v>
      </c>
    </row>
    <row r="185" spans="1:35" ht="15" customHeight="1">
      <c r="A185" s="1" t="str">
        <f>Partidas!C185</f>
        <v>M-2014-56</v>
      </c>
      <c r="B185" s="4">
        <f>Partidas!F185</f>
        <v>41821</v>
      </c>
      <c r="C185" s="1">
        <f>Partidas!A185</f>
        <v>2014</v>
      </c>
      <c r="D185" s="1" t="str">
        <f>Partidas!H185</f>
        <v>Belgium</v>
      </c>
      <c r="E185" s="1" t="str">
        <f>Partidas!I185</f>
        <v>United States</v>
      </c>
      <c r="F185" s="5">
        <f>Partidas!J185</f>
        <v>2</v>
      </c>
      <c r="G185" s="5">
        <f>Partidas!K185</f>
        <v>1</v>
      </c>
      <c r="H185" s="1" t="str">
        <f>Partidas!M185</f>
        <v>H</v>
      </c>
      <c r="I185" s="5">
        <f t="shared" si="36"/>
        <v>3</v>
      </c>
      <c r="J185" s="1" t="b">
        <f t="shared" si="37"/>
        <v>1</v>
      </c>
      <c r="K185" s="1" t="b">
        <f t="shared" si="38"/>
        <v>1</v>
      </c>
      <c r="L185" s="1" t="b">
        <f t="shared" si="39"/>
        <v>0</v>
      </c>
      <c r="M185" s="1" t="b">
        <f t="shared" si="40"/>
        <v>0</v>
      </c>
      <c r="N185" s="1" t="b">
        <f t="shared" si="41"/>
        <v>1</v>
      </c>
      <c r="O185" s="1" t="b">
        <f t="shared" si="42"/>
        <v>1</v>
      </c>
      <c r="P185" s="1" t="b">
        <f t="shared" si="43"/>
        <v>1</v>
      </c>
      <c r="Q185" s="1" t="b">
        <f t="shared" si="44"/>
        <v>1</v>
      </c>
      <c r="R185" s="1" t="b">
        <f t="shared" si="45"/>
        <v>0</v>
      </c>
      <c r="S185" s="5">
        <f>Partidas!T185</f>
        <v>19</v>
      </c>
      <c r="T185" s="5">
        <f>Partidas!U185</f>
        <v>4</v>
      </c>
      <c r="U185" s="5">
        <f t="shared" si="46"/>
        <v>23</v>
      </c>
      <c r="V185" s="5" t="b">
        <f t="shared" si="47"/>
        <v>1</v>
      </c>
      <c r="W185" s="5" t="b">
        <f t="shared" si="48"/>
        <v>1</v>
      </c>
      <c r="X185" s="5">
        <f>Partidas!X185</f>
        <v>1</v>
      </c>
      <c r="Y185" s="5">
        <f>Partidas!Y185</f>
        <v>1</v>
      </c>
      <c r="Z185" s="5">
        <f>Partidas!AG185</f>
        <v>0</v>
      </c>
      <c r="AA185" s="5">
        <f>Partidas!AH185</f>
        <v>0</v>
      </c>
      <c r="AB185" s="5">
        <f t="shared" si="49"/>
        <v>2</v>
      </c>
      <c r="AC185" s="1" t="b">
        <f t="shared" si="50"/>
        <v>0</v>
      </c>
      <c r="AD185" s="1" t="b">
        <f t="shared" si="51"/>
        <v>0</v>
      </c>
      <c r="AE185" s="1" t="b">
        <f t="shared" si="52"/>
        <v>0</v>
      </c>
      <c r="AF185" s="1" t="str">
        <f>Partidas!W185</f>
        <v>ok</v>
      </c>
      <c r="AG185" s="1" t="str">
        <f>Partidas!AK185</f>
        <v>ok</v>
      </c>
      <c r="AH185" s="1" t="str">
        <f t="shared" si="53"/>
        <v>Fjelstul World Cup Database + FootyStats CSV</v>
      </c>
      <c r="AI185" s="1">
        <f>Partidas!AX185</f>
        <v>0</v>
      </c>
    </row>
    <row r="186" spans="1:35" ht="15" customHeight="1">
      <c r="A186" s="1" t="str">
        <f>Partidas!C186</f>
        <v>M-2014-57</v>
      </c>
      <c r="B186" s="4">
        <f>Partidas!F186</f>
        <v>41824</v>
      </c>
      <c r="C186" s="1">
        <f>Partidas!A186</f>
        <v>2014</v>
      </c>
      <c r="D186" s="1" t="str">
        <f>Partidas!H186</f>
        <v>France</v>
      </c>
      <c r="E186" s="1" t="str">
        <f>Partidas!I186</f>
        <v>Germany</v>
      </c>
      <c r="F186" s="5">
        <f>Partidas!J186</f>
        <v>0</v>
      </c>
      <c r="G186" s="5">
        <f>Partidas!K186</f>
        <v>1</v>
      </c>
      <c r="H186" s="1" t="str">
        <f>Partidas!M186</f>
        <v>A</v>
      </c>
      <c r="I186" s="5">
        <f t="shared" si="36"/>
        <v>1</v>
      </c>
      <c r="J186" s="1" t="b">
        <f t="shared" si="37"/>
        <v>0</v>
      </c>
      <c r="K186" s="1" t="b">
        <f t="shared" si="38"/>
        <v>0</v>
      </c>
      <c r="L186" s="1" t="b">
        <f t="shared" si="39"/>
        <v>0</v>
      </c>
      <c r="M186" s="1" t="b">
        <f t="shared" si="40"/>
        <v>1</v>
      </c>
      <c r="N186" s="1" t="b">
        <f t="shared" si="41"/>
        <v>1</v>
      </c>
      <c r="O186" s="1" t="b">
        <f t="shared" si="42"/>
        <v>0</v>
      </c>
      <c r="P186" s="1" t="b">
        <f t="shared" si="43"/>
        <v>0</v>
      </c>
      <c r="Q186" s="1" t="b">
        <f t="shared" si="44"/>
        <v>1</v>
      </c>
      <c r="R186" s="1" t="b">
        <f t="shared" si="45"/>
        <v>1</v>
      </c>
      <c r="S186" s="5">
        <f>Partidas!T186</f>
        <v>5</v>
      </c>
      <c r="T186" s="5">
        <f>Partidas!U186</f>
        <v>3</v>
      </c>
      <c r="U186" s="5">
        <f t="shared" si="46"/>
        <v>8</v>
      </c>
      <c r="V186" s="5" t="b">
        <f t="shared" si="47"/>
        <v>0</v>
      </c>
      <c r="W186" s="5" t="b">
        <f t="shared" si="48"/>
        <v>0</v>
      </c>
      <c r="X186" s="5">
        <f>Partidas!X186</f>
        <v>0</v>
      </c>
      <c r="Y186" s="5">
        <f>Partidas!Y186</f>
        <v>2</v>
      </c>
      <c r="Z186" s="5">
        <f>Partidas!AG186</f>
        <v>0</v>
      </c>
      <c r="AA186" s="5">
        <f>Partidas!AH186</f>
        <v>0</v>
      </c>
      <c r="AB186" s="5">
        <f t="shared" si="49"/>
        <v>2</v>
      </c>
      <c r="AC186" s="1" t="b">
        <f t="shared" si="50"/>
        <v>0</v>
      </c>
      <c r="AD186" s="1" t="b">
        <f t="shared" si="51"/>
        <v>0</v>
      </c>
      <c r="AE186" s="1" t="b">
        <f t="shared" si="52"/>
        <v>0</v>
      </c>
      <c r="AF186" s="1" t="str">
        <f>Partidas!W186</f>
        <v>ok</v>
      </c>
      <c r="AG186" s="1" t="str">
        <f>Partidas!AK186</f>
        <v>ok</v>
      </c>
      <c r="AH186" s="1" t="str">
        <f t="shared" si="53"/>
        <v>Fjelstul World Cup Database + FootyStats CSV</v>
      </c>
      <c r="AI186" s="1">
        <f>Partidas!AX186</f>
        <v>0</v>
      </c>
    </row>
    <row r="187" spans="1:35" ht="15" customHeight="1">
      <c r="A187" s="1" t="str">
        <f>Partidas!C187</f>
        <v>M-2014-58</v>
      </c>
      <c r="B187" s="4">
        <f>Partidas!F187</f>
        <v>41824</v>
      </c>
      <c r="C187" s="1">
        <f>Partidas!A187</f>
        <v>2014</v>
      </c>
      <c r="D187" s="1" t="str">
        <f>Partidas!H187</f>
        <v>Brazil</v>
      </c>
      <c r="E187" s="1" t="str">
        <f>Partidas!I187</f>
        <v>Colombia</v>
      </c>
      <c r="F187" s="5">
        <f>Partidas!J187</f>
        <v>2</v>
      </c>
      <c r="G187" s="5">
        <f>Partidas!K187</f>
        <v>1</v>
      </c>
      <c r="H187" s="1" t="str">
        <f>Partidas!M187</f>
        <v>H</v>
      </c>
      <c r="I187" s="5">
        <f t="shared" si="36"/>
        <v>3</v>
      </c>
      <c r="J187" s="1" t="b">
        <f t="shared" si="37"/>
        <v>1</v>
      </c>
      <c r="K187" s="1" t="b">
        <f t="shared" si="38"/>
        <v>1</v>
      </c>
      <c r="L187" s="1" t="b">
        <f t="shared" si="39"/>
        <v>0</v>
      </c>
      <c r="M187" s="1" t="b">
        <f t="shared" si="40"/>
        <v>0</v>
      </c>
      <c r="N187" s="1" t="b">
        <f t="shared" si="41"/>
        <v>1</v>
      </c>
      <c r="O187" s="1" t="b">
        <f t="shared" si="42"/>
        <v>1</v>
      </c>
      <c r="P187" s="1" t="b">
        <f t="shared" si="43"/>
        <v>1</v>
      </c>
      <c r="Q187" s="1" t="b">
        <f t="shared" si="44"/>
        <v>1</v>
      </c>
      <c r="R187" s="1" t="b">
        <f t="shared" si="45"/>
        <v>0</v>
      </c>
      <c r="S187" s="5">
        <f>Partidas!T187</f>
        <v>4</v>
      </c>
      <c r="T187" s="5">
        <f>Partidas!U187</f>
        <v>6</v>
      </c>
      <c r="U187" s="5">
        <f t="shared" si="46"/>
        <v>10</v>
      </c>
      <c r="V187" s="5" t="b">
        <f t="shared" si="47"/>
        <v>1</v>
      </c>
      <c r="W187" s="5" t="b">
        <f t="shared" si="48"/>
        <v>1</v>
      </c>
      <c r="X187" s="5">
        <f>Partidas!X187</f>
        <v>2</v>
      </c>
      <c r="Y187" s="5">
        <f>Partidas!Y187</f>
        <v>2</v>
      </c>
      <c r="Z187" s="5">
        <f>Partidas!AG187</f>
        <v>0</v>
      </c>
      <c r="AA187" s="5">
        <f>Partidas!AH187</f>
        <v>0</v>
      </c>
      <c r="AB187" s="5">
        <f t="shared" si="49"/>
        <v>4</v>
      </c>
      <c r="AC187" s="1" t="b">
        <f t="shared" si="50"/>
        <v>1</v>
      </c>
      <c r="AD187" s="1" t="b">
        <f t="shared" si="51"/>
        <v>0</v>
      </c>
      <c r="AE187" s="1" t="b">
        <f t="shared" si="52"/>
        <v>0</v>
      </c>
      <c r="AF187" s="1" t="str">
        <f>Partidas!W187</f>
        <v>ok</v>
      </c>
      <c r="AG187" s="1" t="str">
        <f>Partidas!AK187</f>
        <v>ok</v>
      </c>
      <c r="AH187" s="1" t="str">
        <f t="shared" si="53"/>
        <v>Fjelstul World Cup Database + FootyStats CSV</v>
      </c>
      <c r="AI187" s="1">
        <f>Partidas!AX187</f>
        <v>0</v>
      </c>
    </row>
    <row r="188" spans="1:35" ht="15" customHeight="1">
      <c r="A188" s="1" t="str">
        <f>Partidas!C188</f>
        <v>M-2014-59</v>
      </c>
      <c r="B188" s="4">
        <f>Partidas!F188</f>
        <v>41825</v>
      </c>
      <c r="C188" s="1">
        <f>Partidas!A188</f>
        <v>2014</v>
      </c>
      <c r="D188" s="1" t="str">
        <f>Partidas!H188</f>
        <v>Argentina</v>
      </c>
      <c r="E188" s="1" t="str">
        <f>Partidas!I188</f>
        <v>Belgium</v>
      </c>
      <c r="F188" s="5">
        <f>Partidas!J188</f>
        <v>1</v>
      </c>
      <c r="G188" s="5">
        <f>Partidas!K188</f>
        <v>0</v>
      </c>
      <c r="H188" s="1" t="str">
        <f>Partidas!M188</f>
        <v>H</v>
      </c>
      <c r="I188" s="5">
        <f t="shared" si="36"/>
        <v>1</v>
      </c>
      <c r="J188" s="1" t="b">
        <f t="shared" si="37"/>
        <v>0</v>
      </c>
      <c r="K188" s="1" t="b">
        <f t="shared" si="38"/>
        <v>0</v>
      </c>
      <c r="L188" s="1" t="b">
        <f t="shared" si="39"/>
        <v>0</v>
      </c>
      <c r="M188" s="1" t="b">
        <f t="shared" si="40"/>
        <v>1</v>
      </c>
      <c r="N188" s="1" t="b">
        <f t="shared" si="41"/>
        <v>1</v>
      </c>
      <c r="O188" s="1" t="b">
        <f t="shared" si="42"/>
        <v>0</v>
      </c>
      <c r="P188" s="1" t="b">
        <f t="shared" si="43"/>
        <v>1</v>
      </c>
      <c r="Q188" s="1" t="b">
        <f t="shared" si="44"/>
        <v>1</v>
      </c>
      <c r="R188" s="1" t="b">
        <f t="shared" si="45"/>
        <v>0</v>
      </c>
      <c r="S188" s="5">
        <f>Partidas!T188</f>
        <v>3</v>
      </c>
      <c r="T188" s="5">
        <f>Partidas!U188</f>
        <v>4</v>
      </c>
      <c r="U188" s="5">
        <f t="shared" si="46"/>
        <v>7</v>
      </c>
      <c r="V188" s="5" t="b">
        <f t="shared" si="47"/>
        <v>0</v>
      </c>
      <c r="W188" s="5" t="b">
        <f t="shared" si="48"/>
        <v>0</v>
      </c>
      <c r="X188" s="5">
        <f>Partidas!X188</f>
        <v>1</v>
      </c>
      <c r="Y188" s="5">
        <f>Partidas!Y188</f>
        <v>2</v>
      </c>
      <c r="Z188" s="5">
        <f>Partidas!AG188</f>
        <v>0</v>
      </c>
      <c r="AA188" s="5">
        <f>Partidas!AH188</f>
        <v>0</v>
      </c>
      <c r="AB188" s="5">
        <f t="shared" si="49"/>
        <v>3</v>
      </c>
      <c r="AC188" s="1" t="b">
        <f t="shared" si="50"/>
        <v>0</v>
      </c>
      <c r="AD188" s="1" t="b">
        <f t="shared" si="51"/>
        <v>0</v>
      </c>
      <c r="AE188" s="1" t="b">
        <f t="shared" si="52"/>
        <v>0</v>
      </c>
      <c r="AF188" s="1" t="str">
        <f>Partidas!W188</f>
        <v>ok</v>
      </c>
      <c r="AG188" s="1" t="str">
        <f>Partidas!AK188</f>
        <v>ok</v>
      </c>
      <c r="AH188" s="1" t="str">
        <f t="shared" si="53"/>
        <v>Fjelstul World Cup Database + FootyStats CSV</v>
      </c>
      <c r="AI188" s="1">
        <f>Partidas!AX188</f>
        <v>0</v>
      </c>
    </row>
    <row r="189" spans="1:35" ht="15" customHeight="1">
      <c r="A189" s="1" t="str">
        <f>Partidas!C189</f>
        <v>M-2014-60</v>
      </c>
      <c r="B189" s="4">
        <f>Partidas!F189</f>
        <v>41825</v>
      </c>
      <c r="C189" s="1">
        <f>Partidas!A189</f>
        <v>2014</v>
      </c>
      <c r="D189" s="1" t="str">
        <f>Partidas!H189</f>
        <v>Netherlands</v>
      </c>
      <c r="E189" s="1" t="str">
        <f>Partidas!I189</f>
        <v>Costa Rica</v>
      </c>
      <c r="F189" s="5">
        <f>Partidas!J189</f>
        <v>0</v>
      </c>
      <c r="G189" s="5">
        <f>Partidas!K189</f>
        <v>0</v>
      </c>
      <c r="H189" s="1" t="str">
        <f>Partidas!M189</f>
        <v>D</v>
      </c>
      <c r="I189" s="5">
        <f t="shared" si="36"/>
        <v>0</v>
      </c>
      <c r="J189" s="1" t="b">
        <f t="shared" si="37"/>
        <v>0</v>
      </c>
      <c r="K189" s="1" t="b">
        <f t="shared" si="38"/>
        <v>0</v>
      </c>
      <c r="L189" s="1" t="b">
        <f t="shared" si="39"/>
        <v>0</v>
      </c>
      <c r="M189" s="1" t="b">
        <f t="shared" si="40"/>
        <v>1</v>
      </c>
      <c r="N189" s="1" t="b">
        <f t="shared" si="41"/>
        <v>1</v>
      </c>
      <c r="O189" s="1" t="b">
        <f t="shared" si="42"/>
        <v>0</v>
      </c>
      <c r="P189" s="1" t="b">
        <f t="shared" si="43"/>
        <v>1</v>
      </c>
      <c r="Q189" s="1" t="b">
        <f t="shared" si="44"/>
        <v>0</v>
      </c>
      <c r="R189" s="1" t="b">
        <f t="shared" si="45"/>
        <v>1</v>
      </c>
      <c r="S189" s="5">
        <f>Partidas!T189</f>
        <v>11</v>
      </c>
      <c r="T189" s="5">
        <f>Partidas!U189</f>
        <v>1</v>
      </c>
      <c r="U189" s="5">
        <f t="shared" si="46"/>
        <v>12</v>
      </c>
      <c r="V189" s="5" t="b">
        <f t="shared" si="47"/>
        <v>1</v>
      </c>
      <c r="W189" s="5" t="b">
        <f t="shared" si="48"/>
        <v>1</v>
      </c>
      <c r="X189" s="5">
        <f>Partidas!X189</f>
        <v>2</v>
      </c>
      <c r="Y189" s="5">
        <f>Partidas!Y189</f>
        <v>4</v>
      </c>
      <c r="Z189" s="5">
        <f>Partidas!AG189</f>
        <v>0</v>
      </c>
      <c r="AA189" s="5">
        <f>Partidas!AH189</f>
        <v>0</v>
      </c>
      <c r="AB189" s="5">
        <f t="shared" si="49"/>
        <v>6</v>
      </c>
      <c r="AC189" s="1" t="b">
        <f t="shared" si="50"/>
        <v>1</v>
      </c>
      <c r="AD189" s="1" t="b">
        <f t="shared" si="51"/>
        <v>1</v>
      </c>
      <c r="AE189" s="1" t="b">
        <f t="shared" si="52"/>
        <v>1</v>
      </c>
      <c r="AF189" s="1" t="str">
        <f>Partidas!W189</f>
        <v>ok</v>
      </c>
      <c r="AG189" s="1" t="str">
        <f>Partidas!AK189</f>
        <v>ok</v>
      </c>
      <c r="AH189" s="1" t="str">
        <f t="shared" si="53"/>
        <v>Fjelstul World Cup Database + FootyStats CSV</v>
      </c>
      <c r="AI189" s="1">
        <f>Partidas!AX189</f>
        <v>0</v>
      </c>
    </row>
    <row r="190" spans="1:35" ht="15" customHeight="1">
      <c r="A190" s="1" t="str">
        <f>Partidas!C190</f>
        <v>M-2014-61</v>
      </c>
      <c r="B190" s="4">
        <f>Partidas!F190</f>
        <v>41828</v>
      </c>
      <c r="C190" s="1">
        <f>Partidas!A190</f>
        <v>2014</v>
      </c>
      <c r="D190" s="1" t="str">
        <f>Partidas!H190</f>
        <v>Brazil</v>
      </c>
      <c r="E190" s="1" t="str">
        <f>Partidas!I190</f>
        <v>Germany</v>
      </c>
      <c r="F190" s="5">
        <f>Partidas!J190</f>
        <v>1</v>
      </c>
      <c r="G190" s="5">
        <f>Partidas!K190</f>
        <v>7</v>
      </c>
      <c r="H190" s="1" t="str">
        <f>Partidas!M190</f>
        <v>A</v>
      </c>
      <c r="I190" s="5">
        <f t="shared" si="36"/>
        <v>8</v>
      </c>
      <c r="J190" s="1" t="b">
        <f t="shared" si="37"/>
        <v>1</v>
      </c>
      <c r="K190" s="1" t="b">
        <f t="shared" si="38"/>
        <v>1</v>
      </c>
      <c r="L190" s="1" t="b">
        <f t="shared" si="39"/>
        <v>1</v>
      </c>
      <c r="M190" s="1" t="b">
        <f t="shared" si="40"/>
        <v>0</v>
      </c>
      <c r="N190" s="1" t="b">
        <f t="shared" si="41"/>
        <v>0</v>
      </c>
      <c r="O190" s="1" t="b">
        <f t="shared" si="42"/>
        <v>1</v>
      </c>
      <c r="P190" s="1" t="b">
        <f t="shared" si="43"/>
        <v>0</v>
      </c>
      <c r="Q190" s="1" t="b">
        <f t="shared" si="44"/>
        <v>1</v>
      </c>
      <c r="R190" s="1" t="b">
        <f t="shared" si="45"/>
        <v>1</v>
      </c>
      <c r="S190" s="5">
        <f>Partidas!T190</f>
        <v>7</v>
      </c>
      <c r="T190" s="5">
        <f>Partidas!U190</f>
        <v>5</v>
      </c>
      <c r="U190" s="5">
        <f t="shared" si="46"/>
        <v>12</v>
      </c>
      <c r="V190" s="5" t="b">
        <f t="shared" si="47"/>
        <v>1</v>
      </c>
      <c r="W190" s="5" t="b">
        <f t="shared" si="48"/>
        <v>1</v>
      </c>
      <c r="X190" s="5">
        <f>Partidas!X190</f>
        <v>1</v>
      </c>
      <c r="Y190" s="5">
        <f>Partidas!Y190</f>
        <v>0</v>
      </c>
      <c r="Z190" s="5">
        <f>Partidas!AG190</f>
        <v>0</v>
      </c>
      <c r="AA190" s="5">
        <f>Partidas!AH190</f>
        <v>0</v>
      </c>
      <c r="AB190" s="5">
        <f t="shared" si="49"/>
        <v>1</v>
      </c>
      <c r="AC190" s="1" t="b">
        <f t="shared" si="50"/>
        <v>0</v>
      </c>
      <c r="AD190" s="1" t="b">
        <f t="shared" si="51"/>
        <v>0</v>
      </c>
      <c r="AE190" s="1" t="b">
        <f t="shared" si="52"/>
        <v>0</v>
      </c>
      <c r="AF190" s="1" t="str">
        <f>Partidas!W190</f>
        <v>ok</v>
      </c>
      <c r="AG190" s="1" t="str">
        <f>Partidas!AK190</f>
        <v>ok</v>
      </c>
      <c r="AH190" s="1" t="str">
        <f t="shared" si="53"/>
        <v>Fjelstul World Cup Database + FootyStats CSV</v>
      </c>
      <c r="AI190" s="1">
        <f>Partidas!AX190</f>
        <v>0</v>
      </c>
    </row>
    <row r="191" spans="1:35" ht="15" customHeight="1">
      <c r="A191" s="1" t="str">
        <f>Partidas!C191</f>
        <v>M-2014-62</v>
      </c>
      <c r="B191" s="4">
        <f>Partidas!F191</f>
        <v>41829</v>
      </c>
      <c r="C191" s="1">
        <f>Partidas!A191</f>
        <v>2014</v>
      </c>
      <c r="D191" s="1" t="str">
        <f>Partidas!H191</f>
        <v>Netherlands</v>
      </c>
      <c r="E191" s="1" t="str">
        <f>Partidas!I191</f>
        <v>Argentina</v>
      </c>
      <c r="F191" s="5">
        <f>Partidas!J191</f>
        <v>0</v>
      </c>
      <c r="G191" s="5">
        <f>Partidas!K191</f>
        <v>0</v>
      </c>
      <c r="H191" s="1" t="str">
        <f>Partidas!M191</f>
        <v>D</v>
      </c>
      <c r="I191" s="5">
        <f t="shared" si="36"/>
        <v>0</v>
      </c>
      <c r="J191" s="1" t="b">
        <f t="shared" si="37"/>
        <v>0</v>
      </c>
      <c r="K191" s="1" t="b">
        <f t="shared" si="38"/>
        <v>0</v>
      </c>
      <c r="L191" s="1" t="b">
        <f t="shared" si="39"/>
        <v>0</v>
      </c>
      <c r="M191" s="1" t="b">
        <f t="shared" si="40"/>
        <v>1</v>
      </c>
      <c r="N191" s="1" t="b">
        <f t="shared" si="41"/>
        <v>1</v>
      </c>
      <c r="O191" s="1" t="b">
        <f t="shared" si="42"/>
        <v>0</v>
      </c>
      <c r="P191" s="1" t="b">
        <f t="shared" si="43"/>
        <v>1</v>
      </c>
      <c r="Q191" s="1" t="b">
        <f t="shared" si="44"/>
        <v>0</v>
      </c>
      <c r="R191" s="1" t="b">
        <f t="shared" si="45"/>
        <v>1</v>
      </c>
      <c r="S191" s="5">
        <f>Partidas!T191</f>
        <v>4</v>
      </c>
      <c r="T191" s="5">
        <f>Partidas!U191</f>
        <v>4</v>
      </c>
      <c r="U191" s="5">
        <f t="shared" si="46"/>
        <v>8</v>
      </c>
      <c r="V191" s="5" t="b">
        <f t="shared" si="47"/>
        <v>0</v>
      </c>
      <c r="W191" s="5" t="b">
        <f t="shared" si="48"/>
        <v>0</v>
      </c>
      <c r="X191" s="5">
        <f>Partidas!X191</f>
        <v>2</v>
      </c>
      <c r="Y191" s="5">
        <f>Partidas!Y191</f>
        <v>1</v>
      </c>
      <c r="Z191" s="5">
        <f>Partidas!AG191</f>
        <v>0</v>
      </c>
      <c r="AA191" s="5">
        <f>Partidas!AH191</f>
        <v>0</v>
      </c>
      <c r="AB191" s="5">
        <f t="shared" si="49"/>
        <v>3</v>
      </c>
      <c r="AC191" s="1" t="b">
        <f t="shared" si="50"/>
        <v>0</v>
      </c>
      <c r="AD191" s="1" t="b">
        <f t="shared" si="51"/>
        <v>0</v>
      </c>
      <c r="AE191" s="1" t="b">
        <f t="shared" si="52"/>
        <v>0</v>
      </c>
      <c r="AF191" s="1" t="str">
        <f>Partidas!W191</f>
        <v>ok</v>
      </c>
      <c r="AG191" s="1" t="str">
        <f>Partidas!AK191</f>
        <v>ok</v>
      </c>
      <c r="AH191" s="1" t="str">
        <f t="shared" si="53"/>
        <v>Fjelstul World Cup Database + FootyStats CSV</v>
      </c>
      <c r="AI191" s="1">
        <f>Partidas!AX191</f>
        <v>0</v>
      </c>
    </row>
    <row r="192" spans="1:35" ht="15" customHeight="1">
      <c r="A192" s="1" t="str">
        <f>Partidas!C192</f>
        <v>M-2014-63</v>
      </c>
      <c r="B192" s="4">
        <f>Partidas!F192</f>
        <v>41832</v>
      </c>
      <c r="C192" s="1">
        <f>Partidas!A192</f>
        <v>2014</v>
      </c>
      <c r="D192" s="1" t="str">
        <f>Partidas!H192</f>
        <v>Brazil</v>
      </c>
      <c r="E192" s="1" t="str">
        <f>Partidas!I192</f>
        <v>Netherlands</v>
      </c>
      <c r="F192" s="5">
        <f>Partidas!J192</f>
        <v>0</v>
      </c>
      <c r="G192" s="5">
        <f>Partidas!K192</f>
        <v>3</v>
      </c>
      <c r="H192" s="1" t="str">
        <f>Partidas!M192</f>
        <v>A</v>
      </c>
      <c r="I192" s="5">
        <f t="shared" si="36"/>
        <v>3</v>
      </c>
      <c r="J192" s="1" t="b">
        <f t="shared" si="37"/>
        <v>1</v>
      </c>
      <c r="K192" s="1" t="b">
        <f t="shared" si="38"/>
        <v>1</v>
      </c>
      <c r="L192" s="1" t="b">
        <f t="shared" si="39"/>
        <v>0</v>
      </c>
      <c r="M192" s="1" t="b">
        <f t="shared" si="40"/>
        <v>0</v>
      </c>
      <c r="N192" s="1" t="b">
        <f t="shared" si="41"/>
        <v>1</v>
      </c>
      <c r="O192" s="1" t="b">
        <f t="shared" si="42"/>
        <v>0</v>
      </c>
      <c r="P192" s="1" t="b">
        <f t="shared" si="43"/>
        <v>0</v>
      </c>
      <c r="Q192" s="1" t="b">
        <f t="shared" si="44"/>
        <v>1</v>
      </c>
      <c r="R192" s="1" t="b">
        <f t="shared" si="45"/>
        <v>1</v>
      </c>
      <c r="S192" s="5">
        <f>Partidas!T192</f>
        <v>4</v>
      </c>
      <c r="T192" s="5">
        <f>Partidas!U192</f>
        <v>1</v>
      </c>
      <c r="U192" s="5">
        <f t="shared" si="46"/>
        <v>5</v>
      </c>
      <c r="V192" s="5" t="b">
        <f t="shared" si="47"/>
        <v>0</v>
      </c>
      <c r="W192" s="5" t="b">
        <f t="shared" si="48"/>
        <v>0</v>
      </c>
      <c r="X192" s="5">
        <f>Partidas!X192</f>
        <v>3</v>
      </c>
      <c r="Y192" s="5">
        <f>Partidas!Y192</f>
        <v>2</v>
      </c>
      <c r="Z192" s="5">
        <f>Partidas!AG192</f>
        <v>0</v>
      </c>
      <c r="AA192" s="5">
        <f>Partidas!AH192</f>
        <v>0</v>
      </c>
      <c r="AB192" s="5">
        <f t="shared" si="49"/>
        <v>5</v>
      </c>
      <c r="AC192" s="1" t="b">
        <f t="shared" si="50"/>
        <v>1</v>
      </c>
      <c r="AD192" s="1" t="b">
        <f t="shared" si="51"/>
        <v>1</v>
      </c>
      <c r="AE192" s="1" t="b">
        <f t="shared" si="52"/>
        <v>0</v>
      </c>
      <c r="AF192" s="1" t="str">
        <f>Partidas!W192</f>
        <v>ok</v>
      </c>
      <c r="AG192" s="1" t="str">
        <f>Partidas!AK192</f>
        <v>ok</v>
      </c>
      <c r="AH192" s="1" t="str">
        <f t="shared" si="53"/>
        <v>Fjelstul World Cup Database + FootyStats CSV</v>
      </c>
      <c r="AI192" s="1">
        <f>Partidas!AX192</f>
        <v>0</v>
      </c>
    </row>
    <row r="193" spans="1:35" ht="15" customHeight="1">
      <c r="A193" s="1" t="str">
        <f>Partidas!C193</f>
        <v>M-2014-64</v>
      </c>
      <c r="B193" s="4">
        <f>Partidas!F193</f>
        <v>41833</v>
      </c>
      <c r="C193" s="1">
        <f>Partidas!A193</f>
        <v>2014</v>
      </c>
      <c r="D193" s="1" t="str">
        <f>Partidas!H193</f>
        <v>Germany</v>
      </c>
      <c r="E193" s="1" t="str">
        <f>Partidas!I193</f>
        <v>Argentina</v>
      </c>
      <c r="F193" s="5">
        <f>Partidas!J193</f>
        <v>1</v>
      </c>
      <c r="G193" s="5">
        <f>Partidas!K193</f>
        <v>0</v>
      </c>
      <c r="H193" s="1" t="str">
        <f>Partidas!M193</f>
        <v>H</v>
      </c>
      <c r="I193" s="5">
        <f t="shared" si="36"/>
        <v>1</v>
      </c>
      <c r="J193" s="1" t="b">
        <f t="shared" si="37"/>
        <v>0</v>
      </c>
      <c r="K193" s="1" t="b">
        <f t="shared" si="38"/>
        <v>0</v>
      </c>
      <c r="L193" s="1" t="b">
        <f t="shared" si="39"/>
        <v>0</v>
      </c>
      <c r="M193" s="1" t="b">
        <f t="shared" si="40"/>
        <v>1</v>
      </c>
      <c r="N193" s="1" t="b">
        <f t="shared" si="41"/>
        <v>1</v>
      </c>
      <c r="O193" s="1" t="b">
        <f t="shared" si="42"/>
        <v>0</v>
      </c>
      <c r="P193" s="1" t="b">
        <f t="shared" si="43"/>
        <v>1</v>
      </c>
      <c r="Q193" s="1" t="b">
        <f t="shared" si="44"/>
        <v>1</v>
      </c>
      <c r="R193" s="1" t="b">
        <f t="shared" si="45"/>
        <v>0</v>
      </c>
      <c r="S193" s="5">
        <f>Partidas!T193</f>
        <v>5</v>
      </c>
      <c r="T193" s="5">
        <f>Partidas!U193</f>
        <v>3</v>
      </c>
      <c r="U193" s="5">
        <f t="shared" si="46"/>
        <v>8</v>
      </c>
      <c r="V193" s="5" t="b">
        <f t="shared" si="47"/>
        <v>0</v>
      </c>
      <c r="W193" s="5" t="b">
        <f t="shared" si="48"/>
        <v>0</v>
      </c>
      <c r="X193" s="5">
        <f>Partidas!X193</f>
        <v>2</v>
      </c>
      <c r="Y193" s="5">
        <f>Partidas!Y193</f>
        <v>2</v>
      </c>
      <c r="Z193" s="5">
        <f>Partidas!AG193</f>
        <v>0</v>
      </c>
      <c r="AA193" s="5">
        <f>Partidas!AH193</f>
        <v>0</v>
      </c>
      <c r="AB193" s="5">
        <f t="shared" si="49"/>
        <v>4</v>
      </c>
      <c r="AC193" s="1" t="b">
        <f t="shared" si="50"/>
        <v>1</v>
      </c>
      <c r="AD193" s="1" t="b">
        <f t="shared" si="51"/>
        <v>0</v>
      </c>
      <c r="AE193" s="1" t="b">
        <f t="shared" si="52"/>
        <v>0</v>
      </c>
      <c r="AF193" s="1" t="str">
        <f>Partidas!W193</f>
        <v>ok</v>
      </c>
      <c r="AG193" s="1" t="str">
        <f>Partidas!AK193</f>
        <v>ok</v>
      </c>
      <c r="AH193" s="1" t="str">
        <f t="shared" si="53"/>
        <v>Fjelstul World Cup Database + FootyStats CSV</v>
      </c>
      <c r="AI193" s="1">
        <f>Partidas!AX193</f>
        <v>0</v>
      </c>
    </row>
    <row r="194" spans="1:35" ht="15" customHeight="1">
      <c r="A194" s="1" t="str">
        <f>Partidas!C194</f>
        <v>M-2018-01</v>
      </c>
      <c r="B194" s="4">
        <f>Partidas!F194</f>
        <v>43265</v>
      </c>
      <c r="C194" s="1">
        <f>Partidas!A194</f>
        <v>2018</v>
      </c>
      <c r="D194" s="1" t="str">
        <f>Partidas!H194</f>
        <v>Russia</v>
      </c>
      <c r="E194" s="1" t="str">
        <f>Partidas!I194</f>
        <v>Saudi Arabia</v>
      </c>
      <c r="F194" s="5">
        <f>Partidas!J194</f>
        <v>5</v>
      </c>
      <c r="G194" s="5">
        <f>Partidas!K194</f>
        <v>0</v>
      </c>
      <c r="H194" s="1" t="str">
        <f>Partidas!M194</f>
        <v>H</v>
      </c>
      <c r="I194" s="5">
        <f t="shared" ref="I194:I257" si="54">F194+G194</f>
        <v>5</v>
      </c>
      <c r="J194" s="1" t="b">
        <f t="shared" ref="J194:J257" si="55">I194&gt;1.5</f>
        <v>1</v>
      </c>
      <c r="K194" s="1" t="b">
        <f t="shared" ref="K194:K257" si="56">I194&gt;2.5</f>
        <v>1</v>
      </c>
      <c r="L194" s="1" t="b">
        <f t="shared" ref="L194:L257" si="57">I194&gt;3.5</f>
        <v>1</v>
      </c>
      <c r="M194" s="1" t="b">
        <f t="shared" ref="M194:M257" si="58">I194&lt;2.5</f>
        <v>0</v>
      </c>
      <c r="N194" s="1" t="b">
        <f t="shared" ref="N194:N257" si="59">I194&lt;3.5</f>
        <v>0</v>
      </c>
      <c r="O194" s="1" t="b">
        <f t="shared" ref="O194:O257" si="60">AND(F194&gt;0,G194&gt;0)</f>
        <v>0</v>
      </c>
      <c r="P194" s="1" t="b">
        <f t="shared" ref="P194:P257" si="61">OR(H194="H",H194="D")</f>
        <v>1</v>
      </c>
      <c r="Q194" s="1" t="b">
        <f t="shared" ref="Q194:Q257" si="62">OR(H194="H",H194="A")</f>
        <v>1</v>
      </c>
      <c r="R194" s="1" t="b">
        <f t="shared" ref="R194:R257" si="63">OR(H194="D",H194="A")</f>
        <v>0</v>
      </c>
      <c r="S194" s="5">
        <f>Partidas!T194</f>
        <v>6</v>
      </c>
      <c r="T194" s="5">
        <f>Partidas!U194</f>
        <v>2</v>
      </c>
      <c r="U194" s="5">
        <f t="shared" ref="U194:U257" si="64">IF(OR(S194="",T194=""),"",S194+T194)</f>
        <v>8</v>
      </c>
      <c r="V194" s="5" t="b">
        <f t="shared" ref="V194:V257" si="65">IF(U194="","dados_insuficientes",U194&gt;8.5)</f>
        <v>0</v>
      </c>
      <c r="W194" s="5" t="b">
        <f t="shared" ref="W194:W257" si="66">IF(U194="","dados_insuficientes",U194&gt;9.5)</f>
        <v>0</v>
      </c>
      <c r="X194" s="5">
        <f>Partidas!X194</f>
        <v>1</v>
      </c>
      <c r="Y194" s="5">
        <f>Partidas!Y194</f>
        <v>1</v>
      </c>
      <c r="Z194" s="5">
        <f>Partidas!AG194</f>
        <v>0</v>
      </c>
      <c r="AA194" s="5">
        <f>Partidas!AH194</f>
        <v>0</v>
      </c>
      <c r="AB194" s="5">
        <f t="shared" ref="AB194:AB257" si="67">X194+Y194+Z194+AA194</f>
        <v>2</v>
      </c>
      <c r="AC194" s="1" t="b">
        <f t="shared" ref="AC194:AC257" si="68">AB194&gt;3.5</f>
        <v>0</v>
      </c>
      <c r="AD194" s="1" t="b">
        <f t="shared" ref="AD194:AD257" si="69">AB194&gt;4.5</f>
        <v>0</v>
      </c>
      <c r="AE194" s="1" t="b">
        <f t="shared" ref="AE194:AE257" si="70">AB194&gt;5.5</f>
        <v>0</v>
      </c>
      <c r="AF194" s="1" t="str">
        <f>Partidas!W194</f>
        <v>ok</v>
      </c>
      <c r="AG194" s="1" t="str">
        <f>Partidas!AK194</f>
        <v>ok</v>
      </c>
      <c r="AH194" s="1" t="str">
        <f t="shared" ref="AH194:AH257" si="71">"Fjelstul World Cup Database + FootyStats CSV"</f>
        <v>Fjelstul World Cup Database + FootyStats CSV</v>
      </c>
      <c r="AI194" s="1">
        <f>Partidas!AX194</f>
        <v>0</v>
      </c>
    </row>
    <row r="195" spans="1:35" ht="15" customHeight="1">
      <c r="A195" s="1" t="str">
        <f>Partidas!C195</f>
        <v>M-2018-02</v>
      </c>
      <c r="B195" s="4">
        <f>Partidas!F195</f>
        <v>43266</v>
      </c>
      <c r="C195" s="1">
        <f>Partidas!A195</f>
        <v>2018</v>
      </c>
      <c r="D195" s="1" t="str">
        <f>Partidas!H195</f>
        <v>Egypt</v>
      </c>
      <c r="E195" s="1" t="str">
        <f>Partidas!I195</f>
        <v>Uruguay</v>
      </c>
      <c r="F195" s="5">
        <f>Partidas!J195</f>
        <v>0</v>
      </c>
      <c r="G195" s="5">
        <f>Partidas!K195</f>
        <v>1</v>
      </c>
      <c r="H195" s="1" t="str">
        <f>Partidas!M195</f>
        <v>A</v>
      </c>
      <c r="I195" s="5">
        <f t="shared" si="54"/>
        <v>1</v>
      </c>
      <c r="J195" s="1" t="b">
        <f t="shared" si="55"/>
        <v>0</v>
      </c>
      <c r="K195" s="1" t="b">
        <f t="shared" si="56"/>
        <v>0</v>
      </c>
      <c r="L195" s="1" t="b">
        <f t="shared" si="57"/>
        <v>0</v>
      </c>
      <c r="M195" s="1" t="b">
        <f t="shared" si="58"/>
        <v>1</v>
      </c>
      <c r="N195" s="1" t="b">
        <f t="shared" si="59"/>
        <v>1</v>
      </c>
      <c r="O195" s="1" t="b">
        <f t="shared" si="60"/>
        <v>0</v>
      </c>
      <c r="P195" s="1" t="b">
        <f t="shared" si="61"/>
        <v>0</v>
      </c>
      <c r="Q195" s="1" t="b">
        <f t="shared" si="62"/>
        <v>1</v>
      </c>
      <c r="R195" s="1" t="b">
        <f t="shared" si="63"/>
        <v>1</v>
      </c>
      <c r="S195" s="5">
        <f>Partidas!T195</f>
        <v>0</v>
      </c>
      <c r="T195" s="5">
        <f>Partidas!U195</f>
        <v>5</v>
      </c>
      <c r="U195" s="5">
        <f t="shared" si="64"/>
        <v>5</v>
      </c>
      <c r="V195" s="5" t="b">
        <f t="shared" si="65"/>
        <v>0</v>
      </c>
      <c r="W195" s="5" t="b">
        <f t="shared" si="66"/>
        <v>0</v>
      </c>
      <c r="X195" s="5">
        <f>Partidas!X195</f>
        <v>2</v>
      </c>
      <c r="Y195" s="5">
        <f>Partidas!Y195</f>
        <v>0</v>
      </c>
      <c r="Z195" s="5">
        <f>Partidas!AG195</f>
        <v>0</v>
      </c>
      <c r="AA195" s="5">
        <f>Partidas!AH195</f>
        <v>0</v>
      </c>
      <c r="AB195" s="5">
        <f t="shared" si="67"/>
        <v>2</v>
      </c>
      <c r="AC195" s="1" t="b">
        <f t="shared" si="68"/>
        <v>0</v>
      </c>
      <c r="AD195" s="1" t="b">
        <f t="shared" si="69"/>
        <v>0</v>
      </c>
      <c r="AE195" s="1" t="b">
        <f t="shared" si="70"/>
        <v>0</v>
      </c>
      <c r="AF195" s="1" t="str">
        <f>Partidas!W195</f>
        <v>ok</v>
      </c>
      <c r="AG195" s="1" t="str">
        <f>Partidas!AK195</f>
        <v>ok</v>
      </c>
      <c r="AH195" s="1" t="str">
        <f t="shared" si="71"/>
        <v>Fjelstul World Cup Database + FootyStats CSV</v>
      </c>
      <c r="AI195" s="1">
        <f>Partidas!AX195</f>
        <v>0</v>
      </c>
    </row>
    <row r="196" spans="1:35" ht="15" customHeight="1">
      <c r="A196" s="1" t="str">
        <f>Partidas!C196</f>
        <v>M-2018-03</v>
      </c>
      <c r="B196" s="4">
        <f>Partidas!F196</f>
        <v>43266</v>
      </c>
      <c r="C196" s="1">
        <f>Partidas!A196</f>
        <v>2018</v>
      </c>
      <c r="D196" s="1" t="str">
        <f>Partidas!H196</f>
        <v>Morocco</v>
      </c>
      <c r="E196" s="1" t="str">
        <f>Partidas!I196</f>
        <v>Iran</v>
      </c>
      <c r="F196" s="5">
        <f>Partidas!J196</f>
        <v>0</v>
      </c>
      <c r="G196" s="5">
        <f>Partidas!K196</f>
        <v>1</v>
      </c>
      <c r="H196" s="1" t="str">
        <f>Partidas!M196</f>
        <v>A</v>
      </c>
      <c r="I196" s="5">
        <f t="shared" si="54"/>
        <v>1</v>
      </c>
      <c r="J196" s="1" t="b">
        <f t="shared" si="55"/>
        <v>0</v>
      </c>
      <c r="K196" s="1" t="b">
        <f t="shared" si="56"/>
        <v>0</v>
      </c>
      <c r="L196" s="1" t="b">
        <f t="shared" si="57"/>
        <v>0</v>
      </c>
      <c r="M196" s="1" t="b">
        <f t="shared" si="58"/>
        <v>1</v>
      </c>
      <c r="N196" s="1" t="b">
        <f t="shared" si="59"/>
        <v>1</v>
      </c>
      <c r="O196" s="1" t="b">
        <f t="shared" si="60"/>
        <v>0</v>
      </c>
      <c r="P196" s="1" t="b">
        <f t="shared" si="61"/>
        <v>0</v>
      </c>
      <c r="Q196" s="1" t="b">
        <f t="shared" si="62"/>
        <v>1</v>
      </c>
      <c r="R196" s="1" t="b">
        <f t="shared" si="63"/>
        <v>1</v>
      </c>
      <c r="S196" s="5">
        <f>Partidas!T196</f>
        <v>5</v>
      </c>
      <c r="T196" s="5">
        <f>Partidas!U196</f>
        <v>2</v>
      </c>
      <c r="U196" s="5">
        <f t="shared" si="64"/>
        <v>7</v>
      </c>
      <c r="V196" s="5" t="b">
        <f t="shared" si="65"/>
        <v>0</v>
      </c>
      <c r="W196" s="5" t="b">
        <f t="shared" si="66"/>
        <v>0</v>
      </c>
      <c r="X196" s="5">
        <f>Partidas!X196</f>
        <v>1</v>
      </c>
      <c r="Y196" s="5">
        <f>Partidas!Y196</f>
        <v>3</v>
      </c>
      <c r="Z196" s="5">
        <f>Partidas!AG196</f>
        <v>0</v>
      </c>
      <c r="AA196" s="5">
        <f>Partidas!AH196</f>
        <v>0</v>
      </c>
      <c r="AB196" s="5">
        <f t="shared" si="67"/>
        <v>4</v>
      </c>
      <c r="AC196" s="1" t="b">
        <f t="shared" si="68"/>
        <v>1</v>
      </c>
      <c r="AD196" s="1" t="b">
        <f t="shared" si="69"/>
        <v>0</v>
      </c>
      <c r="AE196" s="1" t="b">
        <f t="shared" si="70"/>
        <v>0</v>
      </c>
      <c r="AF196" s="1" t="str">
        <f>Partidas!W196</f>
        <v>ok</v>
      </c>
      <c r="AG196" s="1" t="str">
        <f>Partidas!AK196</f>
        <v>ok</v>
      </c>
      <c r="AH196" s="1" t="str">
        <f t="shared" si="71"/>
        <v>Fjelstul World Cup Database + FootyStats CSV</v>
      </c>
      <c r="AI196" s="1">
        <f>Partidas!AX196</f>
        <v>0</v>
      </c>
    </row>
    <row r="197" spans="1:35" ht="15" customHeight="1">
      <c r="A197" s="1" t="str">
        <f>Partidas!C197</f>
        <v>M-2018-04</v>
      </c>
      <c r="B197" s="4">
        <f>Partidas!F197</f>
        <v>43266</v>
      </c>
      <c r="C197" s="1">
        <f>Partidas!A197</f>
        <v>2018</v>
      </c>
      <c r="D197" s="1" t="str">
        <f>Partidas!H197</f>
        <v>Portugal</v>
      </c>
      <c r="E197" s="1" t="str">
        <f>Partidas!I197</f>
        <v>Spain</v>
      </c>
      <c r="F197" s="5">
        <f>Partidas!J197</f>
        <v>3</v>
      </c>
      <c r="G197" s="5">
        <f>Partidas!K197</f>
        <v>3</v>
      </c>
      <c r="H197" s="1" t="str">
        <f>Partidas!M197</f>
        <v>D</v>
      </c>
      <c r="I197" s="5">
        <f t="shared" si="54"/>
        <v>6</v>
      </c>
      <c r="J197" s="1" t="b">
        <f t="shared" si="55"/>
        <v>1</v>
      </c>
      <c r="K197" s="1" t="b">
        <f t="shared" si="56"/>
        <v>1</v>
      </c>
      <c r="L197" s="1" t="b">
        <f t="shared" si="57"/>
        <v>1</v>
      </c>
      <c r="M197" s="1" t="b">
        <f t="shared" si="58"/>
        <v>0</v>
      </c>
      <c r="N197" s="1" t="b">
        <f t="shared" si="59"/>
        <v>0</v>
      </c>
      <c r="O197" s="1" t="b">
        <f t="shared" si="60"/>
        <v>1</v>
      </c>
      <c r="P197" s="1" t="b">
        <f t="shared" si="61"/>
        <v>1</v>
      </c>
      <c r="Q197" s="1" t="b">
        <f t="shared" si="62"/>
        <v>0</v>
      </c>
      <c r="R197" s="1" t="b">
        <f t="shared" si="63"/>
        <v>1</v>
      </c>
      <c r="S197" s="5">
        <f>Partidas!T197</f>
        <v>4</v>
      </c>
      <c r="T197" s="5">
        <f>Partidas!U197</f>
        <v>5</v>
      </c>
      <c r="U197" s="5">
        <f t="shared" si="64"/>
        <v>9</v>
      </c>
      <c r="V197" s="5" t="b">
        <f t="shared" si="65"/>
        <v>1</v>
      </c>
      <c r="W197" s="5" t="b">
        <f t="shared" si="66"/>
        <v>0</v>
      </c>
      <c r="X197" s="5">
        <f>Partidas!X197</f>
        <v>1</v>
      </c>
      <c r="Y197" s="5">
        <f>Partidas!Y197</f>
        <v>1</v>
      </c>
      <c r="Z197" s="5">
        <f>Partidas!AG197</f>
        <v>0</v>
      </c>
      <c r="AA197" s="5">
        <f>Partidas!AH197</f>
        <v>0</v>
      </c>
      <c r="AB197" s="5">
        <f t="shared" si="67"/>
        <v>2</v>
      </c>
      <c r="AC197" s="1" t="b">
        <f t="shared" si="68"/>
        <v>0</v>
      </c>
      <c r="AD197" s="1" t="b">
        <f t="shared" si="69"/>
        <v>0</v>
      </c>
      <c r="AE197" s="1" t="b">
        <f t="shared" si="70"/>
        <v>0</v>
      </c>
      <c r="AF197" s="1" t="str">
        <f>Partidas!W197</f>
        <v>ok</v>
      </c>
      <c r="AG197" s="1" t="str">
        <f>Partidas!AK197</f>
        <v>ok</v>
      </c>
      <c r="AH197" s="1" t="str">
        <f t="shared" si="71"/>
        <v>Fjelstul World Cup Database + FootyStats CSV</v>
      </c>
      <c r="AI197" s="1">
        <f>Partidas!AX197</f>
        <v>0</v>
      </c>
    </row>
    <row r="198" spans="1:35" ht="15" customHeight="1">
      <c r="A198" s="1" t="str">
        <f>Partidas!C198</f>
        <v>M-2018-05</v>
      </c>
      <c r="B198" s="4">
        <f>Partidas!F198</f>
        <v>43267</v>
      </c>
      <c r="C198" s="1">
        <f>Partidas!A198</f>
        <v>2018</v>
      </c>
      <c r="D198" s="1" t="str">
        <f>Partidas!H198</f>
        <v>France</v>
      </c>
      <c r="E198" s="1" t="str">
        <f>Partidas!I198</f>
        <v>Australia</v>
      </c>
      <c r="F198" s="5">
        <f>Partidas!J198</f>
        <v>2</v>
      </c>
      <c r="G198" s="5">
        <f>Partidas!K198</f>
        <v>1</v>
      </c>
      <c r="H198" s="1" t="str">
        <f>Partidas!M198</f>
        <v>H</v>
      </c>
      <c r="I198" s="5">
        <f t="shared" si="54"/>
        <v>3</v>
      </c>
      <c r="J198" s="1" t="b">
        <f t="shared" si="55"/>
        <v>1</v>
      </c>
      <c r="K198" s="1" t="b">
        <f t="shared" si="56"/>
        <v>1</v>
      </c>
      <c r="L198" s="1" t="b">
        <f t="shared" si="57"/>
        <v>0</v>
      </c>
      <c r="M198" s="1" t="b">
        <f t="shared" si="58"/>
        <v>0</v>
      </c>
      <c r="N198" s="1" t="b">
        <f t="shared" si="59"/>
        <v>1</v>
      </c>
      <c r="O198" s="1" t="b">
        <f t="shared" si="60"/>
        <v>1</v>
      </c>
      <c r="P198" s="1" t="b">
        <f t="shared" si="61"/>
        <v>1</v>
      </c>
      <c r="Q198" s="1" t="b">
        <f t="shared" si="62"/>
        <v>1</v>
      </c>
      <c r="R198" s="1" t="b">
        <f t="shared" si="63"/>
        <v>0</v>
      </c>
      <c r="S198" s="5">
        <f>Partidas!T198</f>
        <v>5</v>
      </c>
      <c r="T198" s="5">
        <f>Partidas!U198</f>
        <v>1</v>
      </c>
      <c r="U198" s="5">
        <f t="shared" si="64"/>
        <v>6</v>
      </c>
      <c r="V198" s="5" t="b">
        <f t="shared" si="65"/>
        <v>0</v>
      </c>
      <c r="W198" s="5" t="b">
        <f t="shared" si="66"/>
        <v>0</v>
      </c>
      <c r="X198" s="5">
        <f>Partidas!X198</f>
        <v>1</v>
      </c>
      <c r="Y198" s="5">
        <f>Partidas!Y198</f>
        <v>3</v>
      </c>
      <c r="Z198" s="5">
        <f>Partidas!AG198</f>
        <v>0</v>
      </c>
      <c r="AA198" s="5">
        <f>Partidas!AH198</f>
        <v>0</v>
      </c>
      <c r="AB198" s="5">
        <f t="shared" si="67"/>
        <v>4</v>
      </c>
      <c r="AC198" s="1" t="b">
        <f t="shared" si="68"/>
        <v>1</v>
      </c>
      <c r="AD198" s="1" t="b">
        <f t="shared" si="69"/>
        <v>0</v>
      </c>
      <c r="AE198" s="1" t="b">
        <f t="shared" si="70"/>
        <v>0</v>
      </c>
      <c r="AF198" s="1" t="str">
        <f>Partidas!W198</f>
        <v>ok</v>
      </c>
      <c r="AG198" s="1" t="str">
        <f>Partidas!AK198</f>
        <v>ok</v>
      </c>
      <c r="AH198" s="1" t="str">
        <f t="shared" si="71"/>
        <v>Fjelstul World Cup Database + FootyStats CSV</v>
      </c>
      <c r="AI198" s="1">
        <f>Partidas!AX198</f>
        <v>0</v>
      </c>
    </row>
    <row r="199" spans="1:35" ht="15" customHeight="1">
      <c r="A199" s="1" t="str">
        <f>Partidas!C199</f>
        <v>M-2018-06</v>
      </c>
      <c r="B199" s="4">
        <f>Partidas!F199</f>
        <v>43267</v>
      </c>
      <c r="C199" s="1">
        <f>Partidas!A199</f>
        <v>2018</v>
      </c>
      <c r="D199" s="1" t="str">
        <f>Partidas!H199</f>
        <v>Argentina</v>
      </c>
      <c r="E199" s="1" t="str">
        <f>Partidas!I199</f>
        <v>Iceland</v>
      </c>
      <c r="F199" s="5">
        <f>Partidas!J199</f>
        <v>1</v>
      </c>
      <c r="G199" s="5">
        <f>Partidas!K199</f>
        <v>1</v>
      </c>
      <c r="H199" s="1" t="str">
        <f>Partidas!M199</f>
        <v>D</v>
      </c>
      <c r="I199" s="5">
        <f t="shared" si="54"/>
        <v>2</v>
      </c>
      <c r="J199" s="1" t="b">
        <f t="shared" si="55"/>
        <v>1</v>
      </c>
      <c r="K199" s="1" t="b">
        <f t="shared" si="56"/>
        <v>0</v>
      </c>
      <c r="L199" s="1" t="b">
        <f t="shared" si="57"/>
        <v>0</v>
      </c>
      <c r="M199" s="1" t="b">
        <f t="shared" si="58"/>
        <v>1</v>
      </c>
      <c r="N199" s="1" t="b">
        <f t="shared" si="59"/>
        <v>1</v>
      </c>
      <c r="O199" s="1" t="b">
        <f t="shared" si="60"/>
        <v>1</v>
      </c>
      <c r="P199" s="1" t="b">
        <f t="shared" si="61"/>
        <v>1</v>
      </c>
      <c r="Q199" s="1" t="b">
        <f t="shared" si="62"/>
        <v>0</v>
      </c>
      <c r="R199" s="1" t="b">
        <f t="shared" si="63"/>
        <v>1</v>
      </c>
      <c r="S199" s="5">
        <f>Partidas!T199</f>
        <v>10</v>
      </c>
      <c r="T199" s="5">
        <f>Partidas!U199</f>
        <v>2</v>
      </c>
      <c r="U199" s="5">
        <f t="shared" si="64"/>
        <v>12</v>
      </c>
      <c r="V199" s="5" t="b">
        <f t="shared" si="65"/>
        <v>1</v>
      </c>
      <c r="W199" s="5" t="b">
        <f t="shared" si="66"/>
        <v>1</v>
      </c>
      <c r="X199" s="5">
        <f>Partidas!X199</f>
        <v>0</v>
      </c>
      <c r="Y199" s="5">
        <f>Partidas!Y199</f>
        <v>0</v>
      </c>
      <c r="Z199" s="5">
        <f>Partidas!AG199</f>
        <v>0</v>
      </c>
      <c r="AA199" s="5">
        <f>Partidas!AH199</f>
        <v>0</v>
      </c>
      <c r="AB199" s="5">
        <f t="shared" si="67"/>
        <v>0</v>
      </c>
      <c r="AC199" s="1" t="b">
        <f t="shared" si="68"/>
        <v>0</v>
      </c>
      <c r="AD199" s="1" t="b">
        <f t="shared" si="69"/>
        <v>0</v>
      </c>
      <c r="AE199" s="1" t="b">
        <f t="shared" si="70"/>
        <v>0</v>
      </c>
      <c r="AF199" s="1" t="str">
        <f>Partidas!W199</f>
        <v>ok</v>
      </c>
      <c r="AG199" s="1" t="str">
        <f>Partidas!AK199</f>
        <v>ok</v>
      </c>
      <c r="AH199" s="1" t="str">
        <f t="shared" si="71"/>
        <v>Fjelstul World Cup Database + FootyStats CSV</v>
      </c>
      <c r="AI199" s="1">
        <f>Partidas!AX199</f>
        <v>0</v>
      </c>
    </row>
    <row r="200" spans="1:35" ht="15" customHeight="1">
      <c r="A200" s="1" t="str">
        <f>Partidas!C200</f>
        <v>M-2018-07</v>
      </c>
      <c r="B200" s="4">
        <f>Partidas!F200</f>
        <v>43267</v>
      </c>
      <c r="C200" s="1">
        <f>Partidas!A200</f>
        <v>2018</v>
      </c>
      <c r="D200" s="1" t="str">
        <f>Partidas!H200</f>
        <v>Peru</v>
      </c>
      <c r="E200" s="1" t="str">
        <f>Partidas!I200</f>
        <v>Denmark</v>
      </c>
      <c r="F200" s="5">
        <f>Partidas!J200</f>
        <v>0</v>
      </c>
      <c r="G200" s="5">
        <f>Partidas!K200</f>
        <v>1</v>
      </c>
      <c r="H200" s="1" t="str">
        <f>Partidas!M200</f>
        <v>A</v>
      </c>
      <c r="I200" s="5">
        <f t="shared" si="54"/>
        <v>1</v>
      </c>
      <c r="J200" s="1" t="b">
        <f t="shared" si="55"/>
        <v>0</v>
      </c>
      <c r="K200" s="1" t="b">
        <f t="shared" si="56"/>
        <v>0</v>
      </c>
      <c r="L200" s="1" t="b">
        <f t="shared" si="57"/>
        <v>0</v>
      </c>
      <c r="M200" s="1" t="b">
        <f t="shared" si="58"/>
        <v>1</v>
      </c>
      <c r="N200" s="1" t="b">
        <f t="shared" si="59"/>
        <v>1</v>
      </c>
      <c r="O200" s="1" t="b">
        <f t="shared" si="60"/>
        <v>0</v>
      </c>
      <c r="P200" s="1" t="b">
        <f t="shared" si="61"/>
        <v>0</v>
      </c>
      <c r="Q200" s="1" t="b">
        <f t="shared" si="62"/>
        <v>1</v>
      </c>
      <c r="R200" s="1" t="b">
        <f t="shared" si="63"/>
        <v>1</v>
      </c>
      <c r="S200" s="5">
        <f>Partidas!T200</f>
        <v>3</v>
      </c>
      <c r="T200" s="5">
        <f>Partidas!U200</f>
        <v>7</v>
      </c>
      <c r="U200" s="5">
        <f t="shared" si="64"/>
        <v>10</v>
      </c>
      <c r="V200" s="5" t="b">
        <f t="shared" si="65"/>
        <v>1</v>
      </c>
      <c r="W200" s="5" t="b">
        <f t="shared" si="66"/>
        <v>1</v>
      </c>
      <c r="X200" s="5">
        <f>Partidas!X200</f>
        <v>1</v>
      </c>
      <c r="Y200" s="5">
        <f>Partidas!Y200</f>
        <v>2</v>
      </c>
      <c r="Z200" s="5">
        <f>Partidas!AG200</f>
        <v>0</v>
      </c>
      <c r="AA200" s="5">
        <f>Partidas!AH200</f>
        <v>0</v>
      </c>
      <c r="AB200" s="5">
        <f t="shared" si="67"/>
        <v>3</v>
      </c>
      <c r="AC200" s="1" t="b">
        <f t="shared" si="68"/>
        <v>0</v>
      </c>
      <c r="AD200" s="1" t="b">
        <f t="shared" si="69"/>
        <v>0</v>
      </c>
      <c r="AE200" s="1" t="b">
        <f t="shared" si="70"/>
        <v>0</v>
      </c>
      <c r="AF200" s="1" t="str">
        <f>Partidas!W200</f>
        <v>ok</v>
      </c>
      <c r="AG200" s="1" t="str">
        <f>Partidas!AK200</f>
        <v>ok</v>
      </c>
      <c r="AH200" s="1" t="str">
        <f t="shared" si="71"/>
        <v>Fjelstul World Cup Database + FootyStats CSV</v>
      </c>
      <c r="AI200" s="1">
        <f>Partidas!AX200</f>
        <v>0</v>
      </c>
    </row>
    <row r="201" spans="1:35" ht="15" customHeight="1">
      <c r="A201" s="1" t="str">
        <f>Partidas!C201</f>
        <v>M-2018-08</v>
      </c>
      <c r="B201" s="4">
        <f>Partidas!F201</f>
        <v>43267</v>
      </c>
      <c r="C201" s="1">
        <f>Partidas!A201</f>
        <v>2018</v>
      </c>
      <c r="D201" s="1" t="str">
        <f>Partidas!H201</f>
        <v>Croatia</v>
      </c>
      <c r="E201" s="1" t="str">
        <f>Partidas!I201</f>
        <v>Nigeria</v>
      </c>
      <c r="F201" s="5">
        <f>Partidas!J201</f>
        <v>2</v>
      </c>
      <c r="G201" s="5">
        <f>Partidas!K201</f>
        <v>0</v>
      </c>
      <c r="H201" s="1" t="str">
        <f>Partidas!M201</f>
        <v>H</v>
      </c>
      <c r="I201" s="5">
        <f t="shared" si="54"/>
        <v>2</v>
      </c>
      <c r="J201" s="1" t="b">
        <f t="shared" si="55"/>
        <v>1</v>
      </c>
      <c r="K201" s="1" t="b">
        <f t="shared" si="56"/>
        <v>0</v>
      </c>
      <c r="L201" s="1" t="b">
        <f t="shared" si="57"/>
        <v>0</v>
      </c>
      <c r="M201" s="1" t="b">
        <f t="shared" si="58"/>
        <v>1</v>
      </c>
      <c r="N201" s="1" t="b">
        <f t="shared" si="59"/>
        <v>1</v>
      </c>
      <c r="O201" s="1" t="b">
        <f t="shared" si="60"/>
        <v>0</v>
      </c>
      <c r="P201" s="1" t="b">
        <f t="shared" si="61"/>
        <v>1</v>
      </c>
      <c r="Q201" s="1" t="b">
        <f t="shared" si="62"/>
        <v>1</v>
      </c>
      <c r="R201" s="1" t="b">
        <f t="shared" si="63"/>
        <v>0</v>
      </c>
      <c r="S201" s="5">
        <f>Partidas!T201</f>
        <v>6</v>
      </c>
      <c r="T201" s="5">
        <f>Partidas!U201</f>
        <v>5</v>
      </c>
      <c r="U201" s="5">
        <f t="shared" si="64"/>
        <v>11</v>
      </c>
      <c r="V201" s="5" t="b">
        <f t="shared" si="65"/>
        <v>1</v>
      </c>
      <c r="W201" s="5" t="b">
        <f t="shared" si="66"/>
        <v>1</v>
      </c>
      <c r="X201" s="5">
        <f>Partidas!X201</f>
        <v>2</v>
      </c>
      <c r="Y201" s="5">
        <f>Partidas!Y201</f>
        <v>1</v>
      </c>
      <c r="Z201" s="5">
        <f>Partidas!AG201</f>
        <v>0</v>
      </c>
      <c r="AA201" s="5">
        <f>Partidas!AH201</f>
        <v>0</v>
      </c>
      <c r="AB201" s="5">
        <f t="shared" si="67"/>
        <v>3</v>
      </c>
      <c r="AC201" s="1" t="b">
        <f t="shared" si="68"/>
        <v>0</v>
      </c>
      <c r="AD201" s="1" t="b">
        <f t="shared" si="69"/>
        <v>0</v>
      </c>
      <c r="AE201" s="1" t="b">
        <f t="shared" si="70"/>
        <v>0</v>
      </c>
      <c r="AF201" s="1" t="str">
        <f>Partidas!W201</f>
        <v>ok</v>
      </c>
      <c r="AG201" s="1" t="str">
        <f>Partidas!AK201</f>
        <v>ok</v>
      </c>
      <c r="AH201" s="1" t="str">
        <f t="shared" si="71"/>
        <v>Fjelstul World Cup Database + FootyStats CSV</v>
      </c>
      <c r="AI201" s="1">
        <f>Partidas!AX201</f>
        <v>0</v>
      </c>
    </row>
    <row r="202" spans="1:35" ht="15" customHeight="1">
      <c r="A202" s="1" t="str">
        <f>Partidas!C202</f>
        <v>M-2018-09</v>
      </c>
      <c r="B202" s="4">
        <f>Partidas!F202</f>
        <v>43268</v>
      </c>
      <c r="C202" s="1">
        <f>Partidas!A202</f>
        <v>2018</v>
      </c>
      <c r="D202" s="1" t="str">
        <f>Partidas!H202</f>
        <v>Costa Rica</v>
      </c>
      <c r="E202" s="1" t="str">
        <f>Partidas!I202</f>
        <v>Serbia</v>
      </c>
      <c r="F202" s="5">
        <f>Partidas!J202</f>
        <v>0</v>
      </c>
      <c r="G202" s="5">
        <f>Partidas!K202</f>
        <v>1</v>
      </c>
      <c r="H202" s="1" t="str">
        <f>Partidas!M202</f>
        <v>A</v>
      </c>
      <c r="I202" s="5">
        <f t="shared" si="54"/>
        <v>1</v>
      </c>
      <c r="J202" s="1" t="b">
        <f t="shared" si="55"/>
        <v>0</v>
      </c>
      <c r="K202" s="1" t="b">
        <f t="shared" si="56"/>
        <v>0</v>
      </c>
      <c r="L202" s="1" t="b">
        <f t="shared" si="57"/>
        <v>0</v>
      </c>
      <c r="M202" s="1" t="b">
        <f t="shared" si="58"/>
        <v>1</v>
      </c>
      <c r="N202" s="1" t="b">
        <f t="shared" si="59"/>
        <v>1</v>
      </c>
      <c r="O202" s="1" t="b">
        <f t="shared" si="60"/>
        <v>0</v>
      </c>
      <c r="P202" s="1" t="b">
        <f t="shared" si="61"/>
        <v>0</v>
      </c>
      <c r="Q202" s="1" t="b">
        <f t="shared" si="62"/>
        <v>1</v>
      </c>
      <c r="R202" s="1" t="b">
        <f t="shared" si="63"/>
        <v>1</v>
      </c>
      <c r="S202" s="5">
        <f>Partidas!T202</f>
        <v>5</v>
      </c>
      <c r="T202" s="5">
        <f>Partidas!U202</f>
        <v>4</v>
      </c>
      <c r="U202" s="5">
        <f t="shared" si="64"/>
        <v>9</v>
      </c>
      <c r="V202" s="5" t="b">
        <f t="shared" si="65"/>
        <v>1</v>
      </c>
      <c r="W202" s="5" t="b">
        <f t="shared" si="66"/>
        <v>0</v>
      </c>
      <c r="X202" s="5">
        <f>Partidas!X202</f>
        <v>2</v>
      </c>
      <c r="Y202" s="5">
        <f>Partidas!Y202</f>
        <v>2</v>
      </c>
      <c r="Z202" s="5">
        <f>Partidas!AG202</f>
        <v>0</v>
      </c>
      <c r="AA202" s="5">
        <f>Partidas!AH202</f>
        <v>0</v>
      </c>
      <c r="AB202" s="5">
        <f t="shared" si="67"/>
        <v>4</v>
      </c>
      <c r="AC202" s="1" t="b">
        <f t="shared" si="68"/>
        <v>1</v>
      </c>
      <c r="AD202" s="1" t="b">
        <f t="shared" si="69"/>
        <v>0</v>
      </c>
      <c r="AE202" s="1" t="b">
        <f t="shared" si="70"/>
        <v>0</v>
      </c>
      <c r="AF202" s="1" t="str">
        <f>Partidas!W202</f>
        <v>ok</v>
      </c>
      <c r="AG202" s="1" t="str">
        <f>Partidas!AK202</f>
        <v>ok</v>
      </c>
      <c r="AH202" s="1" t="str">
        <f t="shared" si="71"/>
        <v>Fjelstul World Cup Database + FootyStats CSV</v>
      </c>
      <c r="AI202" s="1">
        <f>Partidas!AX202</f>
        <v>0</v>
      </c>
    </row>
    <row r="203" spans="1:35" ht="15" customHeight="1">
      <c r="A203" s="1" t="str">
        <f>Partidas!C203</f>
        <v>M-2018-10</v>
      </c>
      <c r="B203" s="4">
        <f>Partidas!F203</f>
        <v>43268</v>
      </c>
      <c r="C203" s="1">
        <f>Partidas!A203</f>
        <v>2018</v>
      </c>
      <c r="D203" s="1" t="str">
        <f>Partidas!H203</f>
        <v>Germany</v>
      </c>
      <c r="E203" s="1" t="str">
        <f>Partidas!I203</f>
        <v>Mexico</v>
      </c>
      <c r="F203" s="5">
        <f>Partidas!J203</f>
        <v>0</v>
      </c>
      <c r="G203" s="5">
        <f>Partidas!K203</f>
        <v>1</v>
      </c>
      <c r="H203" s="1" t="str">
        <f>Partidas!M203</f>
        <v>A</v>
      </c>
      <c r="I203" s="5">
        <f t="shared" si="54"/>
        <v>1</v>
      </c>
      <c r="J203" s="1" t="b">
        <f t="shared" si="55"/>
        <v>0</v>
      </c>
      <c r="K203" s="1" t="b">
        <f t="shared" si="56"/>
        <v>0</v>
      </c>
      <c r="L203" s="1" t="b">
        <f t="shared" si="57"/>
        <v>0</v>
      </c>
      <c r="M203" s="1" t="b">
        <f t="shared" si="58"/>
        <v>1</v>
      </c>
      <c r="N203" s="1" t="b">
        <f t="shared" si="59"/>
        <v>1</v>
      </c>
      <c r="O203" s="1" t="b">
        <f t="shared" si="60"/>
        <v>0</v>
      </c>
      <c r="P203" s="1" t="b">
        <f t="shared" si="61"/>
        <v>0</v>
      </c>
      <c r="Q203" s="1" t="b">
        <f t="shared" si="62"/>
        <v>1</v>
      </c>
      <c r="R203" s="1" t="b">
        <f t="shared" si="63"/>
        <v>1</v>
      </c>
      <c r="S203" s="5">
        <f>Partidas!T203</f>
        <v>8</v>
      </c>
      <c r="T203" s="5">
        <f>Partidas!U203</f>
        <v>1</v>
      </c>
      <c r="U203" s="5">
        <f t="shared" si="64"/>
        <v>9</v>
      </c>
      <c r="V203" s="5" t="b">
        <f t="shared" si="65"/>
        <v>1</v>
      </c>
      <c r="W203" s="5" t="b">
        <f t="shared" si="66"/>
        <v>0</v>
      </c>
      <c r="X203" s="5">
        <f>Partidas!X203</f>
        <v>2</v>
      </c>
      <c r="Y203" s="5">
        <f>Partidas!Y203</f>
        <v>2</v>
      </c>
      <c r="Z203" s="5">
        <f>Partidas!AG203</f>
        <v>0</v>
      </c>
      <c r="AA203" s="5">
        <f>Partidas!AH203</f>
        <v>0</v>
      </c>
      <c r="AB203" s="5">
        <f t="shared" si="67"/>
        <v>4</v>
      </c>
      <c r="AC203" s="1" t="b">
        <f t="shared" si="68"/>
        <v>1</v>
      </c>
      <c r="AD203" s="1" t="b">
        <f t="shared" si="69"/>
        <v>0</v>
      </c>
      <c r="AE203" s="1" t="b">
        <f t="shared" si="70"/>
        <v>0</v>
      </c>
      <c r="AF203" s="1" t="str">
        <f>Partidas!W203</f>
        <v>ok</v>
      </c>
      <c r="AG203" s="1" t="str">
        <f>Partidas!AK203</f>
        <v>ok</v>
      </c>
      <c r="AH203" s="1" t="str">
        <f t="shared" si="71"/>
        <v>Fjelstul World Cup Database + FootyStats CSV</v>
      </c>
      <c r="AI203" s="1">
        <f>Partidas!AX203</f>
        <v>0</v>
      </c>
    </row>
    <row r="204" spans="1:35" ht="15" customHeight="1">
      <c r="A204" s="1" t="str">
        <f>Partidas!C204</f>
        <v>M-2018-11</v>
      </c>
      <c r="B204" s="4">
        <f>Partidas!F204</f>
        <v>43268</v>
      </c>
      <c r="C204" s="1">
        <f>Partidas!A204</f>
        <v>2018</v>
      </c>
      <c r="D204" s="1" t="str">
        <f>Partidas!H204</f>
        <v>Brazil</v>
      </c>
      <c r="E204" s="1" t="str">
        <f>Partidas!I204</f>
        <v>Switzerland</v>
      </c>
      <c r="F204" s="5">
        <f>Partidas!J204</f>
        <v>1</v>
      </c>
      <c r="G204" s="5">
        <f>Partidas!K204</f>
        <v>1</v>
      </c>
      <c r="H204" s="1" t="str">
        <f>Partidas!M204</f>
        <v>D</v>
      </c>
      <c r="I204" s="5">
        <f t="shared" si="54"/>
        <v>2</v>
      </c>
      <c r="J204" s="1" t="b">
        <f t="shared" si="55"/>
        <v>1</v>
      </c>
      <c r="K204" s="1" t="b">
        <f t="shared" si="56"/>
        <v>0</v>
      </c>
      <c r="L204" s="1" t="b">
        <f t="shared" si="57"/>
        <v>0</v>
      </c>
      <c r="M204" s="1" t="b">
        <f t="shared" si="58"/>
        <v>1</v>
      </c>
      <c r="N204" s="1" t="b">
        <f t="shared" si="59"/>
        <v>1</v>
      </c>
      <c r="O204" s="1" t="b">
        <f t="shared" si="60"/>
        <v>1</v>
      </c>
      <c r="P204" s="1" t="b">
        <f t="shared" si="61"/>
        <v>1</v>
      </c>
      <c r="Q204" s="1" t="b">
        <f t="shared" si="62"/>
        <v>0</v>
      </c>
      <c r="R204" s="1" t="b">
        <f t="shared" si="63"/>
        <v>1</v>
      </c>
      <c r="S204" s="5">
        <f>Partidas!T204</f>
        <v>7</v>
      </c>
      <c r="T204" s="5">
        <f>Partidas!U204</f>
        <v>2</v>
      </c>
      <c r="U204" s="5">
        <f t="shared" si="64"/>
        <v>9</v>
      </c>
      <c r="V204" s="5" t="b">
        <f t="shared" si="65"/>
        <v>1</v>
      </c>
      <c r="W204" s="5" t="b">
        <f t="shared" si="66"/>
        <v>0</v>
      </c>
      <c r="X204" s="5">
        <f>Partidas!X204</f>
        <v>1</v>
      </c>
      <c r="Y204" s="5">
        <f>Partidas!Y204</f>
        <v>3</v>
      </c>
      <c r="Z204" s="5">
        <f>Partidas!AG204</f>
        <v>0</v>
      </c>
      <c r="AA204" s="5">
        <f>Partidas!AH204</f>
        <v>0</v>
      </c>
      <c r="AB204" s="5">
        <f t="shared" si="67"/>
        <v>4</v>
      </c>
      <c r="AC204" s="1" t="b">
        <f t="shared" si="68"/>
        <v>1</v>
      </c>
      <c r="AD204" s="1" t="b">
        <f t="shared" si="69"/>
        <v>0</v>
      </c>
      <c r="AE204" s="1" t="b">
        <f t="shared" si="70"/>
        <v>0</v>
      </c>
      <c r="AF204" s="1" t="str">
        <f>Partidas!W204</f>
        <v>ok</v>
      </c>
      <c r="AG204" s="1" t="str">
        <f>Partidas!AK204</f>
        <v>ok</v>
      </c>
      <c r="AH204" s="1" t="str">
        <f t="shared" si="71"/>
        <v>Fjelstul World Cup Database + FootyStats CSV</v>
      </c>
      <c r="AI204" s="1">
        <f>Partidas!AX204</f>
        <v>0</v>
      </c>
    </row>
    <row r="205" spans="1:35" ht="15" customHeight="1">
      <c r="A205" s="1" t="str">
        <f>Partidas!C205</f>
        <v>M-2018-12</v>
      </c>
      <c r="B205" s="4">
        <f>Partidas!F205</f>
        <v>43269</v>
      </c>
      <c r="C205" s="1">
        <f>Partidas!A205</f>
        <v>2018</v>
      </c>
      <c r="D205" s="1" t="str">
        <f>Partidas!H205</f>
        <v>Sweden</v>
      </c>
      <c r="E205" s="1" t="str">
        <f>Partidas!I205</f>
        <v>South Korea</v>
      </c>
      <c r="F205" s="5">
        <f>Partidas!J205</f>
        <v>1</v>
      </c>
      <c r="G205" s="5">
        <f>Partidas!K205</f>
        <v>0</v>
      </c>
      <c r="H205" s="1" t="str">
        <f>Partidas!M205</f>
        <v>H</v>
      </c>
      <c r="I205" s="5">
        <f t="shared" si="54"/>
        <v>1</v>
      </c>
      <c r="J205" s="1" t="b">
        <f t="shared" si="55"/>
        <v>0</v>
      </c>
      <c r="K205" s="1" t="b">
        <f t="shared" si="56"/>
        <v>0</v>
      </c>
      <c r="L205" s="1" t="b">
        <f t="shared" si="57"/>
        <v>0</v>
      </c>
      <c r="M205" s="1" t="b">
        <f t="shared" si="58"/>
        <v>1</v>
      </c>
      <c r="N205" s="1" t="b">
        <f t="shared" si="59"/>
        <v>1</v>
      </c>
      <c r="O205" s="1" t="b">
        <f t="shared" si="60"/>
        <v>0</v>
      </c>
      <c r="P205" s="1" t="b">
        <f t="shared" si="61"/>
        <v>1</v>
      </c>
      <c r="Q205" s="1" t="b">
        <f t="shared" si="62"/>
        <v>1</v>
      </c>
      <c r="R205" s="1" t="b">
        <f t="shared" si="63"/>
        <v>0</v>
      </c>
      <c r="S205" s="5">
        <f>Partidas!T205</f>
        <v>6</v>
      </c>
      <c r="T205" s="5">
        <f>Partidas!U205</f>
        <v>5</v>
      </c>
      <c r="U205" s="5">
        <f t="shared" si="64"/>
        <v>11</v>
      </c>
      <c r="V205" s="5" t="b">
        <f t="shared" si="65"/>
        <v>1</v>
      </c>
      <c r="W205" s="5" t="b">
        <f t="shared" si="66"/>
        <v>1</v>
      </c>
      <c r="X205" s="5">
        <f>Partidas!X205</f>
        <v>1</v>
      </c>
      <c r="Y205" s="5">
        <f>Partidas!Y205</f>
        <v>2</v>
      </c>
      <c r="Z205" s="5">
        <f>Partidas!AG205</f>
        <v>0</v>
      </c>
      <c r="AA205" s="5">
        <f>Partidas!AH205</f>
        <v>0</v>
      </c>
      <c r="AB205" s="5">
        <f t="shared" si="67"/>
        <v>3</v>
      </c>
      <c r="AC205" s="1" t="b">
        <f t="shared" si="68"/>
        <v>0</v>
      </c>
      <c r="AD205" s="1" t="b">
        <f t="shared" si="69"/>
        <v>0</v>
      </c>
      <c r="AE205" s="1" t="b">
        <f t="shared" si="70"/>
        <v>0</v>
      </c>
      <c r="AF205" s="1" t="str">
        <f>Partidas!W205</f>
        <v>ok</v>
      </c>
      <c r="AG205" s="1" t="str">
        <f>Partidas!AK205</f>
        <v>ok</v>
      </c>
      <c r="AH205" s="1" t="str">
        <f t="shared" si="71"/>
        <v>Fjelstul World Cup Database + FootyStats CSV</v>
      </c>
      <c r="AI205" s="1">
        <f>Partidas!AX205</f>
        <v>0</v>
      </c>
    </row>
    <row r="206" spans="1:35" ht="15" customHeight="1">
      <c r="A206" s="1" t="str">
        <f>Partidas!C206</f>
        <v>M-2018-13</v>
      </c>
      <c r="B206" s="4">
        <f>Partidas!F206</f>
        <v>43269</v>
      </c>
      <c r="C206" s="1">
        <f>Partidas!A206</f>
        <v>2018</v>
      </c>
      <c r="D206" s="1" t="str">
        <f>Partidas!H206</f>
        <v>Belgium</v>
      </c>
      <c r="E206" s="1" t="str">
        <f>Partidas!I206</f>
        <v>Panama</v>
      </c>
      <c r="F206" s="5">
        <f>Partidas!J206</f>
        <v>3</v>
      </c>
      <c r="G206" s="5">
        <f>Partidas!K206</f>
        <v>0</v>
      </c>
      <c r="H206" s="1" t="str">
        <f>Partidas!M206</f>
        <v>H</v>
      </c>
      <c r="I206" s="5">
        <f t="shared" si="54"/>
        <v>3</v>
      </c>
      <c r="J206" s="1" t="b">
        <f t="shared" si="55"/>
        <v>1</v>
      </c>
      <c r="K206" s="1" t="b">
        <f t="shared" si="56"/>
        <v>1</v>
      </c>
      <c r="L206" s="1" t="b">
        <f t="shared" si="57"/>
        <v>0</v>
      </c>
      <c r="M206" s="1" t="b">
        <f t="shared" si="58"/>
        <v>0</v>
      </c>
      <c r="N206" s="1" t="b">
        <f t="shared" si="59"/>
        <v>1</v>
      </c>
      <c r="O206" s="1" t="b">
        <f t="shared" si="60"/>
        <v>0</v>
      </c>
      <c r="P206" s="1" t="b">
        <f t="shared" si="61"/>
        <v>1</v>
      </c>
      <c r="Q206" s="1" t="b">
        <f t="shared" si="62"/>
        <v>1</v>
      </c>
      <c r="R206" s="1" t="b">
        <f t="shared" si="63"/>
        <v>0</v>
      </c>
      <c r="S206" s="5">
        <f>Partidas!T206</f>
        <v>9</v>
      </c>
      <c r="T206" s="5">
        <f>Partidas!U206</f>
        <v>3</v>
      </c>
      <c r="U206" s="5">
        <f t="shared" si="64"/>
        <v>12</v>
      </c>
      <c r="V206" s="5" t="b">
        <f t="shared" si="65"/>
        <v>1</v>
      </c>
      <c r="W206" s="5" t="b">
        <f t="shared" si="66"/>
        <v>1</v>
      </c>
      <c r="X206" s="5">
        <f>Partidas!X206</f>
        <v>3</v>
      </c>
      <c r="Y206" s="5">
        <f>Partidas!Y206</f>
        <v>5</v>
      </c>
      <c r="Z206" s="5">
        <f>Partidas!AG206</f>
        <v>0</v>
      </c>
      <c r="AA206" s="5">
        <f>Partidas!AH206</f>
        <v>0</v>
      </c>
      <c r="AB206" s="5">
        <f t="shared" si="67"/>
        <v>8</v>
      </c>
      <c r="AC206" s="1" t="b">
        <f t="shared" si="68"/>
        <v>1</v>
      </c>
      <c r="AD206" s="1" t="b">
        <f t="shared" si="69"/>
        <v>1</v>
      </c>
      <c r="AE206" s="1" t="b">
        <f t="shared" si="70"/>
        <v>1</v>
      </c>
      <c r="AF206" s="1" t="str">
        <f>Partidas!W206</f>
        <v>ok</v>
      </c>
      <c r="AG206" s="1" t="str">
        <f>Partidas!AK206</f>
        <v>ok</v>
      </c>
      <c r="AH206" s="1" t="str">
        <f t="shared" si="71"/>
        <v>Fjelstul World Cup Database + FootyStats CSV</v>
      </c>
      <c r="AI206" s="1">
        <f>Partidas!AX206</f>
        <v>0</v>
      </c>
    </row>
    <row r="207" spans="1:35" ht="15" customHeight="1">
      <c r="A207" s="1" t="str">
        <f>Partidas!C207</f>
        <v>M-2018-14</v>
      </c>
      <c r="B207" s="4">
        <f>Partidas!F207</f>
        <v>43269</v>
      </c>
      <c r="C207" s="1">
        <f>Partidas!A207</f>
        <v>2018</v>
      </c>
      <c r="D207" s="1" t="str">
        <f>Partidas!H207</f>
        <v>Tunisia</v>
      </c>
      <c r="E207" s="1" t="str">
        <f>Partidas!I207</f>
        <v>England</v>
      </c>
      <c r="F207" s="5">
        <f>Partidas!J207</f>
        <v>1</v>
      </c>
      <c r="G207" s="5">
        <f>Partidas!K207</f>
        <v>2</v>
      </c>
      <c r="H207" s="1" t="str">
        <f>Partidas!M207</f>
        <v>A</v>
      </c>
      <c r="I207" s="5">
        <f t="shared" si="54"/>
        <v>3</v>
      </c>
      <c r="J207" s="1" t="b">
        <f t="shared" si="55"/>
        <v>1</v>
      </c>
      <c r="K207" s="1" t="b">
        <f t="shared" si="56"/>
        <v>1</v>
      </c>
      <c r="L207" s="1" t="b">
        <f t="shared" si="57"/>
        <v>0</v>
      </c>
      <c r="M207" s="1" t="b">
        <f t="shared" si="58"/>
        <v>0</v>
      </c>
      <c r="N207" s="1" t="b">
        <f t="shared" si="59"/>
        <v>1</v>
      </c>
      <c r="O207" s="1" t="b">
        <f t="shared" si="60"/>
        <v>1</v>
      </c>
      <c r="P207" s="1" t="b">
        <f t="shared" si="61"/>
        <v>0</v>
      </c>
      <c r="Q207" s="1" t="b">
        <f t="shared" si="62"/>
        <v>1</v>
      </c>
      <c r="R207" s="1" t="b">
        <f t="shared" si="63"/>
        <v>1</v>
      </c>
      <c r="S207" s="5">
        <f>Partidas!T207</f>
        <v>2</v>
      </c>
      <c r="T207" s="5">
        <f>Partidas!U207</f>
        <v>7</v>
      </c>
      <c r="U207" s="5">
        <f t="shared" si="64"/>
        <v>9</v>
      </c>
      <c r="V207" s="5" t="b">
        <f t="shared" si="65"/>
        <v>1</v>
      </c>
      <c r="W207" s="5" t="b">
        <f t="shared" si="66"/>
        <v>0</v>
      </c>
      <c r="X207" s="5">
        <f>Partidas!X207</f>
        <v>0</v>
      </c>
      <c r="Y207" s="5">
        <f>Partidas!Y207</f>
        <v>1</v>
      </c>
      <c r="Z207" s="5">
        <f>Partidas!AG207</f>
        <v>0</v>
      </c>
      <c r="AA207" s="5">
        <f>Partidas!AH207</f>
        <v>0</v>
      </c>
      <c r="AB207" s="5">
        <f t="shared" si="67"/>
        <v>1</v>
      </c>
      <c r="AC207" s="1" t="b">
        <f t="shared" si="68"/>
        <v>0</v>
      </c>
      <c r="AD207" s="1" t="b">
        <f t="shared" si="69"/>
        <v>0</v>
      </c>
      <c r="AE207" s="1" t="b">
        <f t="shared" si="70"/>
        <v>0</v>
      </c>
      <c r="AF207" s="1" t="str">
        <f>Partidas!W207</f>
        <v>ok</v>
      </c>
      <c r="AG207" s="1" t="str">
        <f>Partidas!AK207</f>
        <v>ok</v>
      </c>
      <c r="AH207" s="1" t="str">
        <f t="shared" si="71"/>
        <v>Fjelstul World Cup Database + FootyStats CSV</v>
      </c>
      <c r="AI207" s="1">
        <f>Partidas!AX207</f>
        <v>0</v>
      </c>
    </row>
    <row r="208" spans="1:35" ht="15" customHeight="1">
      <c r="A208" s="1" t="str">
        <f>Partidas!C208</f>
        <v>M-2018-15</v>
      </c>
      <c r="B208" s="4">
        <f>Partidas!F208</f>
        <v>43270</v>
      </c>
      <c r="C208" s="1">
        <f>Partidas!A208</f>
        <v>2018</v>
      </c>
      <c r="D208" s="1" t="str">
        <f>Partidas!H208</f>
        <v>Colombia</v>
      </c>
      <c r="E208" s="1" t="str">
        <f>Partidas!I208</f>
        <v>Japan</v>
      </c>
      <c r="F208" s="5">
        <f>Partidas!J208</f>
        <v>1</v>
      </c>
      <c r="G208" s="5">
        <f>Partidas!K208</f>
        <v>2</v>
      </c>
      <c r="H208" s="1" t="str">
        <f>Partidas!M208</f>
        <v>A</v>
      </c>
      <c r="I208" s="5">
        <f t="shared" si="54"/>
        <v>3</v>
      </c>
      <c r="J208" s="1" t="b">
        <f t="shared" si="55"/>
        <v>1</v>
      </c>
      <c r="K208" s="1" t="b">
        <f t="shared" si="56"/>
        <v>1</v>
      </c>
      <c r="L208" s="1" t="b">
        <f t="shared" si="57"/>
        <v>0</v>
      </c>
      <c r="M208" s="1" t="b">
        <f t="shared" si="58"/>
        <v>0</v>
      </c>
      <c r="N208" s="1" t="b">
        <f t="shared" si="59"/>
        <v>1</v>
      </c>
      <c r="O208" s="1" t="b">
        <f t="shared" si="60"/>
        <v>1</v>
      </c>
      <c r="P208" s="1" t="b">
        <f t="shared" si="61"/>
        <v>0</v>
      </c>
      <c r="Q208" s="1" t="b">
        <f t="shared" si="62"/>
        <v>1</v>
      </c>
      <c r="R208" s="1" t="b">
        <f t="shared" si="63"/>
        <v>1</v>
      </c>
      <c r="S208" s="5">
        <f>Partidas!T208</f>
        <v>3</v>
      </c>
      <c r="T208" s="5">
        <f>Partidas!U208</f>
        <v>6</v>
      </c>
      <c r="U208" s="5">
        <f t="shared" si="64"/>
        <v>9</v>
      </c>
      <c r="V208" s="5" t="b">
        <f t="shared" si="65"/>
        <v>1</v>
      </c>
      <c r="W208" s="5" t="b">
        <f t="shared" si="66"/>
        <v>0</v>
      </c>
      <c r="X208" s="5">
        <f>Partidas!X208</f>
        <v>2</v>
      </c>
      <c r="Y208" s="5">
        <f>Partidas!Y208</f>
        <v>1</v>
      </c>
      <c r="Z208" s="5">
        <f>Partidas!AG208</f>
        <v>1</v>
      </c>
      <c r="AA208" s="5">
        <f>Partidas!AH208</f>
        <v>0</v>
      </c>
      <c r="AB208" s="5">
        <f t="shared" si="67"/>
        <v>4</v>
      </c>
      <c r="AC208" s="1" t="b">
        <f t="shared" si="68"/>
        <v>1</v>
      </c>
      <c r="AD208" s="1" t="b">
        <f t="shared" si="69"/>
        <v>0</v>
      </c>
      <c r="AE208" s="1" t="b">
        <f t="shared" si="70"/>
        <v>0</v>
      </c>
      <c r="AF208" s="1" t="str">
        <f>Partidas!W208</f>
        <v>ok</v>
      </c>
      <c r="AG208" s="1" t="str">
        <f>Partidas!AK208</f>
        <v>ok</v>
      </c>
      <c r="AH208" s="1" t="str">
        <f t="shared" si="71"/>
        <v>Fjelstul World Cup Database + FootyStats CSV</v>
      </c>
      <c r="AI208" s="1">
        <f>Partidas!AX208</f>
        <v>0</v>
      </c>
    </row>
    <row r="209" spans="1:35" ht="15" customHeight="1">
      <c r="A209" s="1" t="str">
        <f>Partidas!C209</f>
        <v>M-2018-16</v>
      </c>
      <c r="B209" s="4">
        <f>Partidas!F209</f>
        <v>43270</v>
      </c>
      <c r="C209" s="1">
        <f>Partidas!A209</f>
        <v>2018</v>
      </c>
      <c r="D209" s="1" t="str">
        <f>Partidas!H209</f>
        <v>Poland</v>
      </c>
      <c r="E209" s="1" t="str">
        <f>Partidas!I209</f>
        <v>Senegal</v>
      </c>
      <c r="F209" s="5">
        <f>Partidas!J209</f>
        <v>1</v>
      </c>
      <c r="G209" s="5">
        <f>Partidas!K209</f>
        <v>2</v>
      </c>
      <c r="H209" s="1" t="str">
        <f>Partidas!M209</f>
        <v>A</v>
      </c>
      <c r="I209" s="5">
        <f t="shared" si="54"/>
        <v>3</v>
      </c>
      <c r="J209" s="1" t="b">
        <f t="shared" si="55"/>
        <v>1</v>
      </c>
      <c r="K209" s="1" t="b">
        <f t="shared" si="56"/>
        <v>1</v>
      </c>
      <c r="L209" s="1" t="b">
        <f t="shared" si="57"/>
        <v>0</v>
      </c>
      <c r="M209" s="1" t="b">
        <f t="shared" si="58"/>
        <v>0</v>
      </c>
      <c r="N209" s="1" t="b">
        <f t="shared" si="59"/>
        <v>1</v>
      </c>
      <c r="O209" s="1" t="b">
        <f t="shared" si="60"/>
        <v>1</v>
      </c>
      <c r="P209" s="1" t="b">
        <f t="shared" si="61"/>
        <v>0</v>
      </c>
      <c r="Q209" s="1" t="b">
        <f t="shared" si="62"/>
        <v>1</v>
      </c>
      <c r="R209" s="1" t="b">
        <f t="shared" si="63"/>
        <v>1</v>
      </c>
      <c r="S209" s="5">
        <f>Partidas!T209</f>
        <v>3</v>
      </c>
      <c r="T209" s="5">
        <f>Partidas!U209</f>
        <v>3</v>
      </c>
      <c r="U209" s="5">
        <f t="shared" si="64"/>
        <v>6</v>
      </c>
      <c r="V209" s="5" t="b">
        <f t="shared" si="65"/>
        <v>0</v>
      </c>
      <c r="W209" s="5" t="b">
        <f t="shared" si="66"/>
        <v>0</v>
      </c>
      <c r="X209" s="5">
        <f>Partidas!X209</f>
        <v>1</v>
      </c>
      <c r="Y209" s="5">
        <f>Partidas!Y209</f>
        <v>2</v>
      </c>
      <c r="Z209" s="5">
        <f>Partidas!AG209</f>
        <v>0</v>
      </c>
      <c r="AA209" s="5">
        <f>Partidas!AH209</f>
        <v>0</v>
      </c>
      <c r="AB209" s="5">
        <f t="shared" si="67"/>
        <v>3</v>
      </c>
      <c r="AC209" s="1" t="b">
        <f t="shared" si="68"/>
        <v>0</v>
      </c>
      <c r="AD209" s="1" t="b">
        <f t="shared" si="69"/>
        <v>0</v>
      </c>
      <c r="AE209" s="1" t="b">
        <f t="shared" si="70"/>
        <v>0</v>
      </c>
      <c r="AF209" s="1" t="str">
        <f>Partidas!W209</f>
        <v>ok</v>
      </c>
      <c r="AG209" s="1" t="str">
        <f>Partidas!AK209</f>
        <v>ok</v>
      </c>
      <c r="AH209" s="1" t="str">
        <f t="shared" si="71"/>
        <v>Fjelstul World Cup Database + FootyStats CSV</v>
      </c>
      <c r="AI209" s="1">
        <f>Partidas!AX209</f>
        <v>0</v>
      </c>
    </row>
    <row r="210" spans="1:35" ht="15" customHeight="1">
      <c r="A210" s="1" t="str">
        <f>Partidas!C210</f>
        <v>M-2018-17</v>
      </c>
      <c r="B210" s="4">
        <f>Partidas!F210</f>
        <v>43270</v>
      </c>
      <c r="C210" s="1">
        <f>Partidas!A210</f>
        <v>2018</v>
      </c>
      <c r="D210" s="1" t="str">
        <f>Partidas!H210</f>
        <v>Russia</v>
      </c>
      <c r="E210" s="1" t="str">
        <f>Partidas!I210</f>
        <v>Egypt</v>
      </c>
      <c r="F210" s="5">
        <f>Partidas!J210</f>
        <v>3</v>
      </c>
      <c r="G210" s="5">
        <f>Partidas!K210</f>
        <v>1</v>
      </c>
      <c r="H210" s="1" t="str">
        <f>Partidas!M210</f>
        <v>H</v>
      </c>
      <c r="I210" s="5">
        <f t="shared" si="54"/>
        <v>4</v>
      </c>
      <c r="J210" s="1" t="b">
        <f t="shared" si="55"/>
        <v>1</v>
      </c>
      <c r="K210" s="1" t="b">
        <f t="shared" si="56"/>
        <v>1</v>
      </c>
      <c r="L210" s="1" t="b">
        <f t="shared" si="57"/>
        <v>1</v>
      </c>
      <c r="M210" s="1" t="b">
        <f t="shared" si="58"/>
        <v>0</v>
      </c>
      <c r="N210" s="1" t="b">
        <f t="shared" si="59"/>
        <v>0</v>
      </c>
      <c r="O210" s="1" t="b">
        <f t="shared" si="60"/>
        <v>1</v>
      </c>
      <c r="P210" s="1" t="b">
        <f t="shared" si="61"/>
        <v>1</v>
      </c>
      <c r="Q210" s="1" t="b">
        <f t="shared" si="62"/>
        <v>1</v>
      </c>
      <c r="R210" s="1" t="b">
        <f t="shared" si="63"/>
        <v>0</v>
      </c>
      <c r="S210" s="5">
        <f>Partidas!T210</f>
        <v>7</v>
      </c>
      <c r="T210" s="5">
        <f>Partidas!U210</f>
        <v>4</v>
      </c>
      <c r="U210" s="5">
        <f t="shared" si="64"/>
        <v>11</v>
      </c>
      <c r="V210" s="5" t="b">
        <f t="shared" si="65"/>
        <v>1</v>
      </c>
      <c r="W210" s="5" t="b">
        <f t="shared" si="66"/>
        <v>1</v>
      </c>
      <c r="X210" s="5">
        <f>Partidas!X210</f>
        <v>1</v>
      </c>
      <c r="Y210" s="5">
        <f>Partidas!Y210</f>
        <v>1</v>
      </c>
      <c r="Z210" s="5">
        <f>Partidas!AG210</f>
        <v>0</v>
      </c>
      <c r="AA210" s="5">
        <f>Partidas!AH210</f>
        <v>0</v>
      </c>
      <c r="AB210" s="5">
        <f t="shared" si="67"/>
        <v>2</v>
      </c>
      <c r="AC210" s="1" t="b">
        <f t="shared" si="68"/>
        <v>0</v>
      </c>
      <c r="AD210" s="1" t="b">
        <f t="shared" si="69"/>
        <v>0</v>
      </c>
      <c r="AE210" s="1" t="b">
        <f t="shared" si="70"/>
        <v>0</v>
      </c>
      <c r="AF210" s="1" t="str">
        <f>Partidas!W210</f>
        <v>ok</v>
      </c>
      <c r="AG210" s="1" t="str">
        <f>Partidas!AK210</f>
        <v>ok</v>
      </c>
      <c r="AH210" s="1" t="str">
        <f t="shared" si="71"/>
        <v>Fjelstul World Cup Database + FootyStats CSV</v>
      </c>
      <c r="AI210" s="1">
        <f>Partidas!AX210</f>
        <v>0</v>
      </c>
    </row>
    <row r="211" spans="1:35" ht="15" customHeight="1">
      <c r="A211" s="1" t="str">
        <f>Partidas!C211</f>
        <v>M-2018-18</v>
      </c>
      <c r="B211" s="4">
        <f>Partidas!F211</f>
        <v>43271</v>
      </c>
      <c r="C211" s="1">
        <f>Partidas!A211</f>
        <v>2018</v>
      </c>
      <c r="D211" s="1" t="str">
        <f>Partidas!H211</f>
        <v>Portugal</v>
      </c>
      <c r="E211" s="1" t="str">
        <f>Partidas!I211</f>
        <v>Morocco</v>
      </c>
      <c r="F211" s="5">
        <f>Partidas!J211</f>
        <v>1</v>
      </c>
      <c r="G211" s="5">
        <f>Partidas!K211</f>
        <v>0</v>
      </c>
      <c r="H211" s="1" t="str">
        <f>Partidas!M211</f>
        <v>H</v>
      </c>
      <c r="I211" s="5">
        <f t="shared" si="54"/>
        <v>1</v>
      </c>
      <c r="J211" s="1" t="b">
        <f t="shared" si="55"/>
        <v>0</v>
      </c>
      <c r="K211" s="1" t="b">
        <f t="shared" si="56"/>
        <v>0</v>
      </c>
      <c r="L211" s="1" t="b">
        <f t="shared" si="57"/>
        <v>0</v>
      </c>
      <c r="M211" s="1" t="b">
        <f t="shared" si="58"/>
        <v>1</v>
      </c>
      <c r="N211" s="1" t="b">
        <f t="shared" si="59"/>
        <v>1</v>
      </c>
      <c r="O211" s="1" t="b">
        <f t="shared" si="60"/>
        <v>0</v>
      </c>
      <c r="P211" s="1" t="b">
        <f t="shared" si="61"/>
        <v>1</v>
      </c>
      <c r="Q211" s="1" t="b">
        <f t="shared" si="62"/>
        <v>1</v>
      </c>
      <c r="R211" s="1" t="b">
        <f t="shared" si="63"/>
        <v>0</v>
      </c>
      <c r="S211" s="5">
        <f>Partidas!T211</f>
        <v>5</v>
      </c>
      <c r="T211" s="5">
        <f>Partidas!U211</f>
        <v>7</v>
      </c>
      <c r="U211" s="5">
        <f t="shared" si="64"/>
        <v>12</v>
      </c>
      <c r="V211" s="5" t="b">
        <f t="shared" si="65"/>
        <v>1</v>
      </c>
      <c r="W211" s="5" t="b">
        <f t="shared" si="66"/>
        <v>1</v>
      </c>
      <c r="X211" s="5">
        <f>Partidas!X211</f>
        <v>1</v>
      </c>
      <c r="Y211" s="5">
        <f>Partidas!Y211</f>
        <v>1</v>
      </c>
      <c r="Z211" s="5">
        <f>Partidas!AG211</f>
        <v>0</v>
      </c>
      <c r="AA211" s="5">
        <f>Partidas!AH211</f>
        <v>0</v>
      </c>
      <c r="AB211" s="5">
        <f t="shared" si="67"/>
        <v>2</v>
      </c>
      <c r="AC211" s="1" t="b">
        <f t="shared" si="68"/>
        <v>0</v>
      </c>
      <c r="AD211" s="1" t="b">
        <f t="shared" si="69"/>
        <v>0</v>
      </c>
      <c r="AE211" s="1" t="b">
        <f t="shared" si="70"/>
        <v>0</v>
      </c>
      <c r="AF211" s="1" t="str">
        <f>Partidas!W211</f>
        <v>ok</v>
      </c>
      <c r="AG211" s="1" t="str">
        <f>Partidas!AK211</f>
        <v>ok</v>
      </c>
      <c r="AH211" s="1" t="str">
        <f t="shared" si="71"/>
        <v>Fjelstul World Cup Database + FootyStats CSV</v>
      </c>
      <c r="AI211" s="1">
        <f>Partidas!AX211</f>
        <v>0</v>
      </c>
    </row>
    <row r="212" spans="1:35" ht="15" customHeight="1">
      <c r="A212" s="1" t="str">
        <f>Partidas!C212</f>
        <v>M-2018-19</v>
      </c>
      <c r="B212" s="4">
        <f>Partidas!F212</f>
        <v>43271</v>
      </c>
      <c r="C212" s="1">
        <f>Partidas!A212</f>
        <v>2018</v>
      </c>
      <c r="D212" s="1" t="str">
        <f>Partidas!H212</f>
        <v>Uruguay</v>
      </c>
      <c r="E212" s="1" t="str">
        <f>Partidas!I212</f>
        <v>Saudi Arabia</v>
      </c>
      <c r="F212" s="5">
        <f>Partidas!J212</f>
        <v>1</v>
      </c>
      <c r="G212" s="5">
        <f>Partidas!K212</f>
        <v>0</v>
      </c>
      <c r="H212" s="1" t="str">
        <f>Partidas!M212</f>
        <v>H</v>
      </c>
      <c r="I212" s="5">
        <f t="shared" si="54"/>
        <v>1</v>
      </c>
      <c r="J212" s="1" t="b">
        <f t="shared" si="55"/>
        <v>0</v>
      </c>
      <c r="K212" s="1" t="b">
        <f t="shared" si="56"/>
        <v>0</v>
      </c>
      <c r="L212" s="1" t="b">
        <f t="shared" si="57"/>
        <v>0</v>
      </c>
      <c r="M212" s="1" t="b">
        <f t="shared" si="58"/>
        <v>1</v>
      </c>
      <c r="N212" s="1" t="b">
        <f t="shared" si="59"/>
        <v>1</v>
      </c>
      <c r="O212" s="1" t="b">
        <f t="shared" si="60"/>
        <v>0</v>
      </c>
      <c r="P212" s="1" t="b">
        <f t="shared" si="61"/>
        <v>1</v>
      </c>
      <c r="Q212" s="1" t="b">
        <f t="shared" si="62"/>
        <v>1</v>
      </c>
      <c r="R212" s="1" t="b">
        <f t="shared" si="63"/>
        <v>0</v>
      </c>
      <c r="S212" s="5">
        <f>Partidas!T212</f>
        <v>3</v>
      </c>
      <c r="T212" s="5">
        <f>Partidas!U212</f>
        <v>4</v>
      </c>
      <c r="U212" s="5">
        <f t="shared" si="64"/>
        <v>7</v>
      </c>
      <c r="V212" s="5" t="b">
        <f t="shared" si="65"/>
        <v>0</v>
      </c>
      <c r="W212" s="5" t="b">
        <f t="shared" si="66"/>
        <v>0</v>
      </c>
      <c r="X212" s="5">
        <f>Partidas!X212</f>
        <v>0</v>
      </c>
      <c r="Y212" s="5">
        <f>Partidas!Y212</f>
        <v>0</v>
      </c>
      <c r="Z212" s="5">
        <f>Partidas!AG212</f>
        <v>0</v>
      </c>
      <c r="AA212" s="5">
        <f>Partidas!AH212</f>
        <v>0</v>
      </c>
      <c r="AB212" s="5">
        <f t="shared" si="67"/>
        <v>0</v>
      </c>
      <c r="AC212" s="1" t="b">
        <f t="shared" si="68"/>
        <v>0</v>
      </c>
      <c r="AD212" s="1" t="b">
        <f t="shared" si="69"/>
        <v>0</v>
      </c>
      <c r="AE212" s="1" t="b">
        <f t="shared" si="70"/>
        <v>0</v>
      </c>
      <c r="AF212" s="1" t="str">
        <f>Partidas!W212</f>
        <v>ok</v>
      </c>
      <c r="AG212" s="1" t="str">
        <f>Partidas!AK212</f>
        <v>ok</v>
      </c>
      <c r="AH212" s="1" t="str">
        <f t="shared" si="71"/>
        <v>Fjelstul World Cup Database + FootyStats CSV</v>
      </c>
      <c r="AI212" s="1">
        <f>Partidas!AX212</f>
        <v>0</v>
      </c>
    </row>
    <row r="213" spans="1:35" ht="15" customHeight="1">
      <c r="A213" s="1" t="str">
        <f>Partidas!C213</f>
        <v>M-2018-20</v>
      </c>
      <c r="B213" s="4">
        <f>Partidas!F213</f>
        <v>43271</v>
      </c>
      <c r="C213" s="1">
        <f>Partidas!A213</f>
        <v>2018</v>
      </c>
      <c r="D213" s="1" t="str">
        <f>Partidas!H213</f>
        <v>Iran</v>
      </c>
      <c r="E213" s="1" t="str">
        <f>Partidas!I213</f>
        <v>Spain</v>
      </c>
      <c r="F213" s="5">
        <f>Partidas!J213</f>
        <v>0</v>
      </c>
      <c r="G213" s="5">
        <f>Partidas!K213</f>
        <v>1</v>
      </c>
      <c r="H213" s="1" t="str">
        <f>Partidas!M213</f>
        <v>A</v>
      </c>
      <c r="I213" s="5">
        <f t="shared" si="54"/>
        <v>1</v>
      </c>
      <c r="J213" s="1" t="b">
        <f t="shared" si="55"/>
        <v>0</v>
      </c>
      <c r="K213" s="1" t="b">
        <f t="shared" si="56"/>
        <v>0</v>
      </c>
      <c r="L213" s="1" t="b">
        <f t="shared" si="57"/>
        <v>0</v>
      </c>
      <c r="M213" s="1" t="b">
        <f t="shared" si="58"/>
        <v>1</v>
      </c>
      <c r="N213" s="1" t="b">
        <f t="shared" si="59"/>
        <v>1</v>
      </c>
      <c r="O213" s="1" t="b">
        <f t="shared" si="60"/>
        <v>0</v>
      </c>
      <c r="P213" s="1" t="b">
        <f t="shared" si="61"/>
        <v>0</v>
      </c>
      <c r="Q213" s="1" t="b">
        <f t="shared" si="62"/>
        <v>1</v>
      </c>
      <c r="R213" s="1" t="b">
        <f t="shared" si="63"/>
        <v>1</v>
      </c>
      <c r="S213" s="5">
        <f>Partidas!T213</f>
        <v>2</v>
      </c>
      <c r="T213" s="5">
        <f>Partidas!U213</f>
        <v>6</v>
      </c>
      <c r="U213" s="5">
        <f t="shared" si="64"/>
        <v>8</v>
      </c>
      <c r="V213" s="5" t="b">
        <f t="shared" si="65"/>
        <v>0</v>
      </c>
      <c r="W213" s="5" t="b">
        <f t="shared" si="66"/>
        <v>0</v>
      </c>
      <c r="X213" s="5">
        <f>Partidas!X213</f>
        <v>2</v>
      </c>
      <c r="Y213" s="5">
        <f>Partidas!Y213</f>
        <v>0</v>
      </c>
      <c r="Z213" s="5">
        <f>Partidas!AG213</f>
        <v>0</v>
      </c>
      <c r="AA213" s="5">
        <f>Partidas!AH213</f>
        <v>0</v>
      </c>
      <c r="AB213" s="5">
        <f t="shared" si="67"/>
        <v>2</v>
      </c>
      <c r="AC213" s="1" t="b">
        <f t="shared" si="68"/>
        <v>0</v>
      </c>
      <c r="AD213" s="1" t="b">
        <f t="shared" si="69"/>
        <v>0</v>
      </c>
      <c r="AE213" s="1" t="b">
        <f t="shared" si="70"/>
        <v>0</v>
      </c>
      <c r="AF213" s="1" t="str">
        <f>Partidas!W213</f>
        <v>ok</v>
      </c>
      <c r="AG213" s="1" t="str">
        <f>Partidas!AK213</f>
        <v>ok</v>
      </c>
      <c r="AH213" s="1" t="str">
        <f t="shared" si="71"/>
        <v>Fjelstul World Cup Database + FootyStats CSV</v>
      </c>
      <c r="AI213" s="1">
        <f>Partidas!AX213</f>
        <v>0</v>
      </c>
    </row>
    <row r="214" spans="1:35" ht="15" customHeight="1">
      <c r="A214" s="1" t="str">
        <f>Partidas!C214</f>
        <v>M-2018-21</v>
      </c>
      <c r="B214" s="4">
        <f>Partidas!F214</f>
        <v>43272</v>
      </c>
      <c r="C214" s="1">
        <f>Partidas!A214</f>
        <v>2018</v>
      </c>
      <c r="D214" s="1" t="str">
        <f>Partidas!H214</f>
        <v>Denmark</v>
      </c>
      <c r="E214" s="1" t="str">
        <f>Partidas!I214</f>
        <v>Australia</v>
      </c>
      <c r="F214" s="5">
        <f>Partidas!J214</f>
        <v>1</v>
      </c>
      <c r="G214" s="5">
        <f>Partidas!K214</f>
        <v>1</v>
      </c>
      <c r="H214" s="1" t="str">
        <f>Partidas!M214</f>
        <v>D</v>
      </c>
      <c r="I214" s="5">
        <f t="shared" si="54"/>
        <v>2</v>
      </c>
      <c r="J214" s="1" t="b">
        <f t="shared" si="55"/>
        <v>1</v>
      </c>
      <c r="K214" s="1" t="b">
        <f t="shared" si="56"/>
        <v>0</v>
      </c>
      <c r="L214" s="1" t="b">
        <f t="shared" si="57"/>
        <v>0</v>
      </c>
      <c r="M214" s="1" t="b">
        <f t="shared" si="58"/>
        <v>1</v>
      </c>
      <c r="N214" s="1" t="b">
        <f t="shared" si="59"/>
        <v>1</v>
      </c>
      <c r="O214" s="1" t="b">
        <f t="shared" si="60"/>
        <v>1</v>
      </c>
      <c r="P214" s="1" t="b">
        <f t="shared" si="61"/>
        <v>1</v>
      </c>
      <c r="Q214" s="1" t="b">
        <f t="shared" si="62"/>
        <v>0</v>
      </c>
      <c r="R214" s="1" t="b">
        <f t="shared" si="63"/>
        <v>1</v>
      </c>
      <c r="S214" s="5">
        <f>Partidas!T214</f>
        <v>3</v>
      </c>
      <c r="T214" s="5">
        <f>Partidas!U214</f>
        <v>5</v>
      </c>
      <c r="U214" s="5">
        <f t="shared" si="64"/>
        <v>8</v>
      </c>
      <c r="V214" s="5" t="b">
        <f t="shared" si="65"/>
        <v>0</v>
      </c>
      <c r="W214" s="5" t="b">
        <f t="shared" si="66"/>
        <v>0</v>
      </c>
      <c r="X214" s="5">
        <f>Partidas!X214</f>
        <v>2</v>
      </c>
      <c r="Y214" s="5">
        <f>Partidas!Y214</f>
        <v>0</v>
      </c>
      <c r="Z214" s="5">
        <f>Partidas!AG214</f>
        <v>0</v>
      </c>
      <c r="AA214" s="5">
        <f>Partidas!AH214</f>
        <v>0</v>
      </c>
      <c r="AB214" s="5">
        <f t="shared" si="67"/>
        <v>2</v>
      </c>
      <c r="AC214" s="1" t="b">
        <f t="shared" si="68"/>
        <v>0</v>
      </c>
      <c r="AD214" s="1" t="b">
        <f t="shared" si="69"/>
        <v>0</v>
      </c>
      <c r="AE214" s="1" t="b">
        <f t="shared" si="70"/>
        <v>0</v>
      </c>
      <c r="AF214" s="1" t="str">
        <f>Partidas!W214</f>
        <v>ok</v>
      </c>
      <c r="AG214" s="1" t="str">
        <f>Partidas!AK214</f>
        <v>ok</v>
      </c>
      <c r="AH214" s="1" t="str">
        <f t="shared" si="71"/>
        <v>Fjelstul World Cup Database + FootyStats CSV</v>
      </c>
      <c r="AI214" s="1">
        <f>Partidas!AX214</f>
        <v>0</v>
      </c>
    </row>
    <row r="215" spans="1:35" ht="15" customHeight="1">
      <c r="A215" s="1" t="str">
        <f>Partidas!C215</f>
        <v>M-2018-22</v>
      </c>
      <c r="B215" s="4">
        <f>Partidas!F215</f>
        <v>43272</v>
      </c>
      <c r="C215" s="1">
        <f>Partidas!A215</f>
        <v>2018</v>
      </c>
      <c r="D215" s="1" t="str">
        <f>Partidas!H215</f>
        <v>France</v>
      </c>
      <c r="E215" s="1" t="str">
        <f>Partidas!I215</f>
        <v>Peru</v>
      </c>
      <c r="F215" s="5">
        <f>Partidas!J215</f>
        <v>1</v>
      </c>
      <c r="G215" s="5">
        <f>Partidas!K215</f>
        <v>0</v>
      </c>
      <c r="H215" s="1" t="str">
        <f>Partidas!M215</f>
        <v>H</v>
      </c>
      <c r="I215" s="5">
        <f t="shared" si="54"/>
        <v>1</v>
      </c>
      <c r="J215" s="1" t="b">
        <f t="shared" si="55"/>
        <v>0</v>
      </c>
      <c r="K215" s="1" t="b">
        <f t="shared" si="56"/>
        <v>0</v>
      </c>
      <c r="L215" s="1" t="b">
        <f t="shared" si="57"/>
        <v>0</v>
      </c>
      <c r="M215" s="1" t="b">
        <f t="shared" si="58"/>
        <v>1</v>
      </c>
      <c r="N215" s="1" t="b">
        <f t="shared" si="59"/>
        <v>1</v>
      </c>
      <c r="O215" s="1" t="b">
        <f t="shared" si="60"/>
        <v>0</v>
      </c>
      <c r="P215" s="1" t="b">
        <f t="shared" si="61"/>
        <v>1</v>
      </c>
      <c r="Q215" s="1" t="b">
        <f t="shared" si="62"/>
        <v>1</v>
      </c>
      <c r="R215" s="1" t="b">
        <f t="shared" si="63"/>
        <v>0</v>
      </c>
      <c r="S215" s="5">
        <f>Partidas!T215</f>
        <v>5</v>
      </c>
      <c r="T215" s="5">
        <f>Partidas!U215</f>
        <v>3</v>
      </c>
      <c r="U215" s="5">
        <f t="shared" si="64"/>
        <v>8</v>
      </c>
      <c r="V215" s="5" t="b">
        <f t="shared" si="65"/>
        <v>0</v>
      </c>
      <c r="W215" s="5" t="b">
        <f t="shared" si="66"/>
        <v>0</v>
      </c>
      <c r="X215" s="5">
        <f>Partidas!X215</f>
        <v>2</v>
      </c>
      <c r="Y215" s="5">
        <f>Partidas!Y215</f>
        <v>2</v>
      </c>
      <c r="Z215" s="5">
        <f>Partidas!AG215</f>
        <v>0</v>
      </c>
      <c r="AA215" s="5">
        <f>Partidas!AH215</f>
        <v>0</v>
      </c>
      <c r="AB215" s="5">
        <f t="shared" si="67"/>
        <v>4</v>
      </c>
      <c r="AC215" s="1" t="b">
        <f t="shared" si="68"/>
        <v>1</v>
      </c>
      <c r="AD215" s="1" t="b">
        <f t="shared" si="69"/>
        <v>0</v>
      </c>
      <c r="AE215" s="1" t="b">
        <f t="shared" si="70"/>
        <v>0</v>
      </c>
      <c r="AF215" s="1" t="str">
        <f>Partidas!W215</f>
        <v>ok</v>
      </c>
      <c r="AG215" s="1" t="str">
        <f>Partidas!AK215</f>
        <v>ok</v>
      </c>
      <c r="AH215" s="1" t="str">
        <f t="shared" si="71"/>
        <v>Fjelstul World Cup Database + FootyStats CSV</v>
      </c>
      <c r="AI215" s="1">
        <f>Partidas!AX215</f>
        <v>0</v>
      </c>
    </row>
    <row r="216" spans="1:35" ht="15" customHeight="1">
      <c r="A216" s="1" t="str">
        <f>Partidas!C216</f>
        <v>M-2018-23</v>
      </c>
      <c r="B216" s="4">
        <f>Partidas!F216</f>
        <v>43272</v>
      </c>
      <c r="C216" s="1">
        <f>Partidas!A216</f>
        <v>2018</v>
      </c>
      <c r="D216" s="1" t="str">
        <f>Partidas!H216</f>
        <v>Argentina</v>
      </c>
      <c r="E216" s="1" t="str">
        <f>Partidas!I216</f>
        <v>Croatia</v>
      </c>
      <c r="F216" s="5">
        <f>Partidas!J216</f>
        <v>0</v>
      </c>
      <c r="G216" s="5">
        <f>Partidas!K216</f>
        <v>3</v>
      </c>
      <c r="H216" s="1" t="str">
        <f>Partidas!M216</f>
        <v>A</v>
      </c>
      <c r="I216" s="5">
        <f t="shared" si="54"/>
        <v>3</v>
      </c>
      <c r="J216" s="1" t="b">
        <f t="shared" si="55"/>
        <v>1</v>
      </c>
      <c r="K216" s="1" t="b">
        <f t="shared" si="56"/>
        <v>1</v>
      </c>
      <c r="L216" s="1" t="b">
        <f t="shared" si="57"/>
        <v>0</v>
      </c>
      <c r="M216" s="1" t="b">
        <f t="shared" si="58"/>
        <v>0</v>
      </c>
      <c r="N216" s="1" t="b">
        <f t="shared" si="59"/>
        <v>1</v>
      </c>
      <c r="O216" s="1" t="b">
        <f t="shared" si="60"/>
        <v>0</v>
      </c>
      <c r="P216" s="1" t="b">
        <f t="shared" si="61"/>
        <v>0</v>
      </c>
      <c r="Q216" s="1" t="b">
        <f t="shared" si="62"/>
        <v>1</v>
      </c>
      <c r="R216" s="1" t="b">
        <f t="shared" si="63"/>
        <v>1</v>
      </c>
      <c r="S216" s="5">
        <f>Partidas!T216</f>
        <v>5</v>
      </c>
      <c r="T216" s="5">
        <f>Partidas!U216</f>
        <v>2</v>
      </c>
      <c r="U216" s="5">
        <f t="shared" si="64"/>
        <v>7</v>
      </c>
      <c r="V216" s="5" t="b">
        <f t="shared" si="65"/>
        <v>0</v>
      </c>
      <c r="W216" s="5" t="b">
        <f t="shared" si="66"/>
        <v>0</v>
      </c>
      <c r="X216" s="5">
        <f>Partidas!X216</f>
        <v>3</v>
      </c>
      <c r="Y216" s="5">
        <f>Partidas!Y216</f>
        <v>4</v>
      </c>
      <c r="Z216" s="5">
        <f>Partidas!AG216</f>
        <v>0</v>
      </c>
      <c r="AA216" s="5">
        <f>Partidas!AH216</f>
        <v>0</v>
      </c>
      <c r="AB216" s="5">
        <f t="shared" si="67"/>
        <v>7</v>
      </c>
      <c r="AC216" s="1" t="b">
        <f t="shared" si="68"/>
        <v>1</v>
      </c>
      <c r="AD216" s="1" t="b">
        <f t="shared" si="69"/>
        <v>1</v>
      </c>
      <c r="AE216" s="1" t="b">
        <f t="shared" si="70"/>
        <v>1</v>
      </c>
      <c r="AF216" s="1" t="str">
        <f>Partidas!W216</f>
        <v>ok</v>
      </c>
      <c r="AG216" s="1" t="str">
        <f>Partidas!AK216</f>
        <v>ok</v>
      </c>
      <c r="AH216" s="1" t="str">
        <f t="shared" si="71"/>
        <v>Fjelstul World Cup Database + FootyStats CSV</v>
      </c>
      <c r="AI216" s="1">
        <f>Partidas!AX216</f>
        <v>0</v>
      </c>
    </row>
    <row r="217" spans="1:35" ht="15" customHeight="1">
      <c r="A217" s="1" t="str">
        <f>Partidas!C217</f>
        <v>M-2018-24</v>
      </c>
      <c r="B217" s="4">
        <f>Partidas!F217</f>
        <v>43273</v>
      </c>
      <c r="C217" s="1">
        <f>Partidas!A217</f>
        <v>2018</v>
      </c>
      <c r="D217" s="1" t="str">
        <f>Partidas!H217</f>
        <v>Brazil</v>
      </c>
      <c r="E217" s="1" t="str">
        <f>Partidas!I217</f>
        <v>Costa Rica</v>
      </c>
      <c r="F217" s="5">
        <f>Partidas!J217</f>
        <v>2</v>
      </c>
      <c r="G217" s="5">
        <f>Partidas!K217</f>
        <v>0</v>
      </c>
      <c r="H217" s="1" t="str">
        <f>Partidas!M217</f>
        <v>H</v>
      </c>
      <c r="I217" s="5">
        <f t="shared" si="54"/>
        <v>2</v>
      </c>
      <c r="J217" s="1" t="b">
        <f t="shared" si="55"/>
        <v>1</v>
      </c>
      <c r="K217" s="1" t="b">
        <f t="shared" si="56"/>
        <v>0</v>
      </c>
      <c r="L217" s="1" t="b">
        <f t="shared" si="57"/>
        <v>0</v>
      </c>
      <c r="M217" s="1" t="b">
        <f t="shared" si="58"/>
        <v>1</v>
      </c>
      <c r="N217" s="1" t="b">
        <f t="shared" si="59"/>
        <v>1</v>
      </c>
      <c r="O217" s="1" t="b">
        <f t="shared" si="60"/>
        <v>0</v>
      </c>
      <c r="P217" s="1" t="b">
        <f t="shared" si="61"/>
        <v>1</v>
      </c>
      <c r="Q217" s="1" t="b">
        <f t="shared" si="62"/>
        <v>1</v>
      </c>
      <c r="R217" s="1" t="b">
        <f t="shared" si="63"/>
        <v>0</v>
      </c>
      <c r="S217" s="5">
        <f>Partidas!T217</f>
        <v>9</v>
      </c>
      <c r="T217" s="5">
        <f>Partidas!U217</f>
        <v>1</v>
      </c>
      <c r="U217" s="5">
        <f t="shared" si="64"/>
        <v>10</v>
      </c>
      <c r="V217" s="5" t="b">
        <f t="shared" si="65"/>
        <v>1</v>
      </c>
      <c r="W217" s="5" t="b">
        <f t="shared" si="66"/>
        <v>1</v>
      </c>
      <c r="X217" s="5">
        <f>Partidas!X217</f>
        <v>2</v>
      </c>
      <c r="Y217" s="5">
        <f>Partidas!Y217</f>
        <v>1</v>
      </c>
      <c r="Z217" s="5">
        <f>Partidas!AG217</f>
        <v>0</v>
      </c>
      <c r="AA217" s="5">
        <f>Partidas!AH217</f>
        <v>0</v>
      </c>
      <c r="AB217" s="5">
        <f t="shared" si="67"/>
        <v>3</v>
      </c>
      <c r="AC217" s="1" t="b">
        <f t="shared" si="68"/>
        <v>0</v>
      </c>
      <c r="AD217" s="1" t="b">
        <f t="shared" si="69"/>
        <v>0</v>
      </c>
      <c r="AE217" s="1" t="b">
        <f t="shared" si="70"/>
        <v>0</v>
      </c>
      <c r="AF217" s="1" t="str">
        <f>Partidas!W217</f>
        <v>ok</v>
      </c>
      <c r="AG217" s="1" t="str">
        <f>Partidas!AK217</f>
        <v>ok</v>
      </c>
      <c r="AH217" s="1" t="str">
        <f t="shared" si="71"/>
        <v>Fjelstul World Cup Database + FootyStats CSV</v>
      </c>
      <c r="AI217" s="1">
        <f>Partidas!AX217</f>
        <v>0</v>
      </c>
    </row>
    <row r="218" spans="1:35" ht="15" customHeight="1">
      <c r="A218" s="1" t="str">
        <f>Partidas!C218</f>
        <v>M-2018-25</v>
      </c>
      <c r="B218" s="4">
        <f>Partidas!F218</f>
        <v>43273</v>
      </c>
      <c r="C218" s="1">
        <f>Partidas!A218</f>
        <v>2018</v>
      </c>
      <c r="D218" s="1" t="str">
        <f>Partidas!H218</f>
        <v>Nigeria</v>
      </c>
      <c r="E218" s="1" t="str">
        <f>Partidas!I218</f>
        <v>Iceland</v>
      </c>
      <c r="F218" s="5">
        <f>Partidas!J218</f>
        <v>2</v>
      </c>
      <c r="G218" s="5">
        <f>Partidas!K218</f>
        <v>0</v>
      </c>
      <c r="H218" s="1" t="str">
        <f>Partidas!M218</f>
        <v>H</v>
      </c>
      <c r="I218" s="5">
        <f t="shared" si="54"/>
        <v>2</v>
      </c>
      <c r="J218" s="1" t="b">
        <f t="shared" si="55"/>
        <v>1</v>
      </c>
      <c r="K218" s="1" t="b">
        <f t="shared" si="56"/>
        <v>0</v>
      </c>
      <c r="L218" s="1" t="b">
        <f t="shared" si="57"/>
        <v>0</v>
      </c>
      <c r="M218" s="1" t="b">
        <f t="shared" si="58"/>
        <v>1</v>
      </c>
      <c r="N218" s="1" t="b">
        <f t="shared" si="59"/>
        <v>1</v>
      </c>
      <c r="O218" s="1" t="b">
        <f t="shared" si="60"/>
        <v>0</v>
      </c>
      <c r="P218" s="1" t="b">
        <f t="shared" si="61"/>
        <v>1</v>
      </c>
      <c r="Q218" s="1" t="b">
        <f t="shared" si="62"/>
        <v>1</v>
      </c>
      <c r="R218" s="1" t="b">
        <f t="shared" si="63"/>
        <v>0</v>
      </c>
      <c r="S218" s="5">
        <f>Partidas!T218</f>
        <v>6</v>
      </c>
      <c r="T218" s="5">
        <f>Partidas!U218</f>
        <v>5</v>
      </c>
      <c r="U218" s="5">
        <f t="shared" si="64"/>
        <v>11</v>
      </c>
      <c r="V218" s="5" t="b">
        <f t="shared" si="65"/>
        <v>1</v>
      </c>
      <c r="W218" s="5" t="b">
        <f t="shared" si="66"/>
        <v>1</v>
      </c>
      <c r="X218" s="5">
        <f>Partidas!X218</f>
        <v>1</v>
      </c>
      <c r="Y218" s="5">
        <f>Partidas!Y218</f>
        <v>0</v>
      </c>
      <c r="Z218" s="5">
        <f>Partidas!AG218</f>
        <v>0</v>
      </c>
      <c r="AA218" s="5">
        <f>Partidas!AH218</f>
        <v>0</v>
      </c>
      <c r="AB218" s="5">
        <f t="shared" si="67"/>
        <v>1</v>
      </c>
      <c r="AC218" s="1" t="b">
        <f t="shared" si="68"/>
        <v>0</v>
      </c>
      <c r="AD218" s="1" t="b">
        <f t="shared" si="69"/>
        <v>0</v>
      </c>
      <c r="AE218" s="1" t="b">
        <f t="shared" si="70"/>
        <v>0</v>
      </c>
      <c r="AF218" s="1" t="str">
        <f>Partidas!W218</f>
        <v>ok</v>
      </c>
      <c r="AG218" s="1" t="str">
        <f>Partidas!AK218</f>
        <v>ok</v>
      </c>
      <c r="AH218" s="1" t="str">
        <f t="shared" si="71"/>
        <v>Fjelstul World Cup Database + FootyStats CSV</v>
      </c>
      <c r="AI218" s="1">
        <f>Partidas!AX218</f>
        <v>0</v>
      </c>
    </row>
    <row r="219" spans="1:35" ht="15" customHeight="1">
      <c r="A219" s="1" t="str">
        <f>Partidas!C219</f>
        <v>M-2018-26</v>
      </c>
      <c r="B219" s="4">
        <f>Partidas!F219</f>
        <v>43273</v>
      </c>
      <c r="C219" s="1">
        <f>Partidas!A219</f>
        <v>2018</v>
      </c>
      <c r="D219" s="1" t="str">
        <f>Partidas!H219</f>
        <v>Serbia</v>
      </c>
      <c r="E219" s="1" t="str">
        <f>Partidas!I219</f>
        <v>Switzerland</v>
      </c>
      <c r="F219" s="5">
        <f>Partidas!J219</f>
        <v>1</v>
      </c>
      <c r="G219" s="5">
        <f>Partidas!K219</f>
        <v>2</v>
      </c>
      <c r="H219" s="1" t="str">
        <f>Partidas!M219</f>
        <v>A</v>
      </c>
      <c r="I219" s="5">
        <f t="shared" si="54"/>
        <v>3</v>
      </c>
      <c r="J219" s="1" t="b">
        <f t="shared" si="55"/>
        <v>1</v>
      </c>
      <c r="K219" s="1" t="b">
        <f t="shared" si="56"/>
        <v>1</v>
      </c>
      <c r="L219" s="1" t="b">
        <f t="shared" si="57"/>
        <v>0</v>
      </c>
      <c r="M219" s="1" t="b">
        <f t="shared" si="58"/>
        <v>0</v>
      </c>
      <c r="N219" s="1" t="b">
        <f t="shared" si="59"/>
        <v>1</v>
      </c>
      <c r="O219" s="1" t="b">
        <f t="shared" si="60"/>
        <v>1</v>
      </c>
      <c r="P219" s="1" t="b">
        <f t="shared" si="61"/>
        <v>0</v>
      </c>
      <c r="Q219" s="1" t="b">
        <f t="shared" si="62"/>
        <v>1</v>
      </c>
      <c r="R219" s="1" t="b">
        <f t="shared" si="63"/>
        <v>1</v>
      </c>
      <c r="S219" s="5">
        <f>Partidas!T219</f>
        <v>3</v>
      </c>
      <c r="T219" s="5">
        <f>Partidas!U219</f>
        <v>7</v>
      </c>
      <c r="U219" s="5">
        <f t="shared" si="64"/>
        <v>10</v>
      </c>
      <c r="V219" s="5" t="b">
        <f t="shared" si="65"/>
        <v>1</v>
      </c>
      <c r="W219" s="5" t="b">
        <f t="shared" si="66"/>
        <v>1</v>
      </c>
      <c r="X219" s="5">
        <f>Partidas!X219</f>
        <v>4</v>
      </c>
      <c r="Y219" s="5">
        <f>Partidas!Y219</f>
        <v>1</v>
      </c>
      <c r="Z219" s="5">
        <f>Partidas!AG219</f>
        <v>0</v>
      </c>
      <c r="AA219" s="5">
        <f>Partidas!AH219</f>
        <v>0</v>
      </c>
      <c r="AB219" s="5">
        <f t="shared" si="67"/>
        <v>5</v>
      </c>
      <c r="AC219" s="1" t="b">
        <f t="shared" si="68"/>
        <v>1</v>
      </c>
      <c r="AD219" s="1" t="b">
        <f t="shared" si="69"/>
        <v>1</v>
      </c>
      <c r="AE219" s="1" t="b">
        <f t="shared" si="70"/>
        <v>0</v>
      </c>
      <c r="AF219" s="1" t="str">
        <f>Partidas!W219</f>
        <v>ok</v>
      </c>
      <c r="AG219" s="1" t="str">
        <f>Partidas!AK219</f>
        <v>ok</v>
      </c>
      <c r="AH219" s="1" t="str">
        <f t="shared" si="71"/>
        <v>Fjelstul World Cup Database + FootyStats CSV</v>
      </c>
      <c r="AI219" s="1">
        <f>Partidas!AX219</f>
        <v>0</v>
      </c>
    </row>
    <row r="220" spans="1:35" ht="15" customHeight="1">
      <c r="A220" s="1" t="str">
        <f>Partidas!C220</f>
        <v>M-2018-27</v>
      </c>
      <c r="B220" s="4">
        <f>Partidas!F220</f>
        <v>43274</v>
      </c>
      <c r="C220" s="1">
        <f>Partidas!A220</f>
        <v>2018</v>
      </c>
      <c r="D220" s="1" t="str">
        <f>Partidas!H220</f>
        <v>Belgium</v>
      </c>
      <c r="E220" s="1" t="str">
        <f>Partidas!I220</f>
        <v>Tunisia</v>
      </c>
      <c r="F220" s="5">
        <f>Partidas!J220</f>
        <v>5</v>
      </c>
      <c r="G220" s="5">
        <f>Partidas!K220</f>
        <v>2</v>
      </c>
      <c r="H220" s="1" t="str">
        <f>Partidas!M220</f>
        <v>H</v>
      </c>
      <c r="I220" s="5">
        <f t="shared" si="54"/>
        <v>7</v>
      </c>
      <c r="J220" s="1" t="b">
        <f t="shared" si="55"/>
        <v>1</v>
      </c>
      <c r="K220" s="1" t="b">
        <f t="shared" si="56"/>
        <v>1</v>
      </c>
      <c r="L220" s="1" t="b">
        <f t="shared" si="57"/>
        <v>1</v>
      </c>
      <c r="M220" s="1" t="b">
        <f t="shared" si="58"/>
        <v>0</v>
      </c>
      <c r="N220" s="1" t="b">
        <f t="shared" si="59"/>
        <v>0</v>
      </c>
      <c r="O220" s="1" t="b">
        <f t="shared" si="60"/>
        <v>1</v>
      </c>
      <c r="P220" s="1" t="b">
        <f t="shared" si="61"/>
        <v>1</v>
      </c>
      <c r="Q220" s="1" t="b">
        <f t="shared" si="62"/>
        <v>1</v>
      </c>
      <c r="R220" s="1" t="b">
        <f t="shared" si="63"/>
        <v>0</v>
      </c>
      <c r="S220" s="5">
        <f>Partidas!T220</f>
        <v>5</v>
      </c>
      <c r="T220" s="5">
        <f>Partidas!U220</f>
        <v>2</v>
      </c>
      <c r="U220" s="5">
        <f t="shared" si="64"/>
        <v>7</v>
      </c>
      <c r="V220" s="5" t="b">
        <f t="shared" si="65"/>
        <v>0</v>
      </c>
      <c r="W220" s="5" t="b">
        <f t="shared" si="66"/>
        <v>0</v>
      </c>
      <c r="X220" s="5">
        <f>Partidas!X220</f>
        <v>0</v>
      </c>
      <c r="Y220" s="5">
        <f>Partidas!Y220</f>
        <v>1</v>
      </c>
      <c r="Z220" s="5">
        <f>Partidas!AG220</f>
        <v>0</v>
      </c>
      <c r="AA220" s="5">
        <f>Partidas!AH220</f>
        <v>0</v>
      </c>
      <c r="AB220" s="5">
        <f t="shared" si="67"/>
        <v>1</v>
      </c>
      <c r="AC220" s="1" t="b">
        <f t="shared" si="68"/>
        <v>0</v>
      </c>
      <c r="AD220" s="1" t="b">
        <f t="shared" si="69"/>
        <v>0</v>
      </c>
      <c r="AE220" s="1" t="b">
        <f t="shared" si="70"/>
        <v>0</v>
      </c>
      <c r="AF220" s="1" t="str">
        <f>Partidas!W220</f>
        <v>ok</v>
      </c>
      <c r="AG220" s="1" t="str">
        <f>Partidas!AK220</f>
        <v>ok</v>
      </c>
      <c r="AH220" s="1" t="str">
        <f t="shared" si="71"/>
        <v>Fjelstul World Cup Database + FootyStats CSV</v>
      </c>
      <c r="AI220" s="1">
        <f>Partidas!AX220</f>
        <v>0</v>
      </c>
    </row>
    <row r="221" spans="1:35" ht="15" customHeight="1">
      <c r="A221" s="1" t="str">
        <f>Partidas!C221</f>
        <v>M-2018-28</v>
      </c>
      <c r="B221" s="4">
        <f>Partidas!F221</f>
        <v>43274</v>
      </c>
      <c r="C221" s="1">
        <f>Partidas!A221</f>
        <v>2018</v>
      </c>
      <c r="D221" s="1" t="str">
        <f>Partidas!H221</f>
        <v>South Korea</v>
      </c>
      <c r="E221" s="1" t="str">
        <f>Partidas!I221</f>
        <v>Mexico</v>
      </c>
      <c r="F221" s="5">
        <f>Partidas!J221</f>
        <v>1</v>
      </c>
      <c r="G221" s="5">
        <f>Partidas!K221</f>
        <v>2</v>
      </c>
      <c r="H221" s="1" t="str">
        <f>Partidas!M221</f>
        <v>A</v>
      </c>
      <c r="I221" s="5">
        <f t="shared" si="54"/>
        <v>3</v>
      </c>
      <c r="J221" s="1" t="b">
        <f t="shared" si="55"/>
        <v>1</v>
      </c>
      <c r="K221" s="1" t="b">
        <f t="shared" si="56"/>
        <v>1</v>
      </c>
      <c r="L221" s="1" t="b">
        <f t="shared" si="57"/>
        <v>0</v>
      </c>
      <c r="M221" s="1" t="b">
        <f t="shared" si="58"/>
        <v>0</v>
      </c>
      <c r="N221" s="1" t="b">
        <f t="shared" si="59"/>
        <v>1</v>
      </c>
      <c r="O221" s="1" t="b">
        <f t="shared" si="60"/>
        <v>1</v>
      </c>
      <c r="P221" s="1" t="b">
        <f t="shared" si="61"/>
        <v>0</v>
      </c>
      <c r="Q221" s="1" t="b">
        <f t="shared" si="62"/>
        <v>1</v>
      </c>
      <c r="R221" s="1" t="b">
        <f t="shared" si="63"/>
        <v>1</v>
      </c>
      <c r="S221" s="5">
        <f>Partidas!T221</f>
        <v>7</v>
      </c>
      <c r="T221" s="5">
        <f>Partidas!U221</f>
        <v>5</v>
      </c>
      <c r="U221" s="5">
        <f t="shared" si="64"/>
        <v>12</v>
      </c>
      <c r="V221" s="5" t="b">
        <f t="shared" si="65"/>
        <v>1</v>
      </c>
      <c r="W221" s="5" t="b">
        <f t="shared" si="66"/>
        <v>1</v>
      </c>
      <c r="X221" s="5">
        <f>Partidas!X221</f>
        <v>4</v>
      </c>
      <c r="Y221" s="5">
        <f>Partidas!Y221</f>
        <v>0</v>
      </c>
      <c r="Z221" s="5">
        <f>Partidas!AG221</f>
        <v>0</v>
      </c>
      <c r="AA221" s="5">
        <f>Partidas!AH221</f>
        <v>0</v>
      </c>
      <c r="AB221" s="5">
        <f t="shared" si="67"/>
        <v>4</v>
      </c>
      <c r="AC221" s="1" t="b">
        <f t="shared" si="68"/>
        <v>1</v>
      </c>
      <c r="AD221" s="1" t="b">
        <f t="shared" si="69"/>
        <v>0</v>
      </c>
      <c r="AE221" s="1" t="b">
        <f t="shared" si="70"/>
        <v>0</v>
      </c>
      <c r="AF221" s="1" t="str">
        <f>Partidas!W221</f>
        <v>ok</v>
      </c>
      <c r="AG221" s="1" t="str">
        <f>Partidas!AK221</f>
        <v>ok</v>
      </c>
      <c r="AH221" s="1" t="str">
        <f t="shared" si="71"/>
        <v>Fjelstul World Cup Database + FootyStats CSV</v>
      </c>
      <c r="AI221" s="1">
        <f>Partidas!AX221</f>
        <v>0</v>
      </c>
    </row>
    <row r="222" spans="1:35" ht="15" customHeight="1">
      <c r="A222" s="1" t="str">
        <f>Partidas!C222</f>
        <v>M-2018-29</v>
      </c>
      <c r="B222" s="4">
        <f>Partidas!F222</f>
        <v>43274</v>
      </c>
      <c r="C222" s="1">
        <f>Partidas!A222</f>
        <v>2018</v>
      </c>
      <c r="D222" s="1" t="str">
        <f>Partidas!H222</f>
        <v>Germany</v>
      </c>
      <c r="E222" s="1" t="str">
        <f>Partidas!I222</f>
        <v>Sweden</v>
      </c>
      <c r="F222" s="5">
        <f>Partidas!J222</f>
        <v>2</v>
      </c>
      <c r="G222" s="5">
        <f>Partidas!K222</f>
        <v>1</v>
      </c>
      <c r="H222" s="1" t="str">
        <f>Partidas!M222</f>
        <v>H</v>
      </c>
      <c r="I222" s="5">
        <f t="shared" si="54"/>
        <v>3</v>
      </c>
      <c r="J222" s="1" t="b">
        <f t="shared" si="55"/>
        <v>1</v>
      </c>
      <c r="K222" s="1" t="b">
        <f t="shared" si="56"/>
        <v>1</v>
      </c>
      <c r="L222" s="1" t="b">
        <f t="shared" si="57"/>
        <v>0</v>
      </c>
      <c r="M222" s="1" t="b">
        <f t="shared" si="58"/>
        <v>0</v>
      </c>
      <c r="N222" s="1" t="b">
        <f t="shared" si="59"/>
        <v>1</v>
      </c>
      <c r="O222" s="1" t="b">
        <f t="shared" si="60"/>
        <v>1</v>
      </c>
      <c r="P222" s="1" t="b">
        <f t="shared" si="61"/>
        <v>1</v>
      </c>
      <c r="Q222" s="1" t="b">
        <f t="shared" si="62"/>
        <v>1</v>
      </c>
      <c r="R222" s="1" t="b">
        <f t="shared" si="63"/>
        <v>0</v>
      </c>
      <c r="S222" s="5">
        <f>Partidas!T222</f>
        <v>8</v>
      </c>
      <c r="T222" s="5">
        <f>Partidas!U222</f>
        <v>3</v>
      </c>
      <c r="U222" s="5">
        <f t="shared" si="64"/>
        <v>11</v>
      </c>
      <c r="V222" s="5" t="b">
        <f t="shared" si="65"/>
        <v>1</v>
      </c>
      <c r="W222" s="5" t="b">
        <f t="shared" si="66"/>
        <v>1</v>
      </c>
      <c r="X222" s="5">
        <f>Partidas!X222</f>
        <v>1</v>
      </c>
      <c r="Y222" s="5">
        <f>Partidas!Y222</f>
        <v>2</v>
      </c>
      <c r="Z222" s="5">
        <f>Partidas!AG222</f>
        <v>1</v>
      </c>
      <c r="AA222" s="5">
        <f>Partidas!AH222</f>
        <v>0</v>
      </c>
      <c r="AB222" s="5">
        <f t="shared" si="67"/>
        <v>4</v>
      </c>
      <c r="AC222" s="1" t="b">
        <f t="shared" si="68"/>
        <v>1</v>
      </c>
      <c r="AD222" s="1" t="b">
        <f t="shared" si="69"/>
        <v>0</v>
      </c>
      <c r="AE222" s="1" t="b">
        <f t="shared" si="70"/>
        <v>0</v>
      </c>
      <c r="AF222" s="1" t="str">
        <f>Partidas!W222</f>
        <v>ok</v>
      </c>
      <c r="AG222" s="1" t="str">
        <f>Partidas!AK222</f>
        <v>ok</v>
      </c>
      <c r="AH222" s="1" t="str">
        <f t="shared" si="71"/>
        <v>Fjelstul World Cup Database + FootyStats CSV</v>
      </c>
      <c r="AI222" s="1">
        <f>Partidas!AX222</f>
        <v>0</v>
      </c>
    </row>
    <row r="223" spans="1:35" ht="15" customHeight="1">
      <c r="A223" s="1" t="str">
        <f>Partidas!C223</f>
        <v>M-2018-30</v>
      </c>
      <c r="B223" s="4">
        <f>Partidas!F223</f>
        <v>43275</v>
      </c>
      <c r="C223" s="1">
        <f>Partidas!A223</f>
        <v>2018</v>
      </c>
      <c r="D223" s="1" t="str">
        <f>Partidas!H223</f>
        <v>England</v>
      </c>
      <c r="E223" s="1" t="str">
        <f>Partidas!I223</f>
        <v>Panama</v>
      </c>
      <c r="F223" s="5">
        <f>Partidas!J223</f>
        <v>6</v>
      </c>
      <c r="G223" s="5">
        <f>Partidas!K223</f>
        <v>1</v>
      </c>
      <c r="H223" s="1" t="str">
        <f>Partidas!M223</f>
        <v>H</v>
      </c>
      <c r="I223" s="5">
        <f t="shared" si="54"/>
        <v>7</v>
      </c>
      <c r="J223" s="1" t="b">
        <f t="shared" si="55"/>
        <v>1</v>
      </c>
      <c r="K223" s="1" t="b">
        <f t="shared" si="56"/>
        <v>1</v>
      </c>
      <c r="L223" s="1" t="b">
        <f t="shared" si="57"/>
        <v>1</v>
      </c>
      <c r="M223" s="1" t="b">
        <f t="shared" si="58"/>
        <v>0</v>
      </c>
      <c r="N223" s="1" t="b">
        <f t="shared" si="59"/>
        <v>0</v>
      </c>
      <c r="O223" s="1" t="b">
        <f t="shared" si="60"/>
        <v>1</v>
      </c>
      <c r="P223" s="1" t="b">
        <f t="shared" si="61"/>
        <v>1</v>
      </c>
      <c r="Q223" s="1" t="b">
        <f t="shared" si="62"/>
        <v>1</v>
      </c>
      <c r="R223" s="1" t="b">
        <f t="shared" si="63"/>
        <v>0</v>
      </c>
      <c r="S223" s="5">
        <f>Partidas!T223</f>
        <v>3</v>
      </c>
      <c r="T223" s="5">
        <f>Partidas!U223</f>
        <v>2</v>
      </c>
      <c r="U223" s="5">
        <f t="shared" si="64"/>
        <v>5</v>
      </c>
      <c r="V223" s="5" t="b">
        <f t="shared" si="65"/>
        <v>0</v>
      </c>
      <c r="W223" s="5" t="b">
        <f t="shared" si="66"/>
        <v>0</v>
      </c>
      <c r="X223" s="5">
        <f>Partidas!X223</f>
        <v>1</v>
      </c>
      <c r="Y223" s="5">
        <f>Partidas!Y223</f>
        <v>3</v>
      </c>
      <c r="Z223" s="5">
        <f>Partidas!AG223</f>
        <v>0</v>
      </c>
      <c r="AA223" s="5">
        <f>Partidas!AH223</f>
        <v>0</v>
      </c>
      <c r="AB223" s="5">
        <f t="shared" si="67"/>
        <v>4</v>
      </c>
      <c r="AC223" s="1" t="b">
        <f t="shared" si="68"/>
        <v>1</v>
      </c>
      <c r="AD223" s="1" t="b">
        <f t="shared" si="69"/>
        <v>0</v>
      </c>
      <c r="AE223" s="1" t="b">
        <f t="shared" si="70"/>
        <v>0</v>
      </c>
      <c r="AF223" s="1" t="str">
        <f>Partidas!W223</f>
        <v>ok</v>
      </c>
      <c r="AG223" s="1" t="str">
        <f>Partidas!AK223</f>
        <v>ok</v>
      </c>
      <c r="AH223" s="1" t="str">
        <f t="shared" si="71"/>
        <v>Fjelstul World Cup Database + FootyStats CSV</v>
      </c>
      <c r="AI223" s="1">
        <f>Partidas!AX223</f>
        <v>0</v>
      </c>
    </row>
    <row r="224" spans="1:35" ht="15" customHeight="1">
      <c r="A224" s="1" t="str">
        <f>Partidas!C224</f>
        <v>M-2018-31</v>
      </c>
      <c r="B224" s="4">
        <f>Partidas!F224</f>
        <v>43275</v>
      </c>
      <c r="C224" s="1">
        <f>Partidas!A224</f>
        <v>2018</v>
      </c>
      <c r="D224" s="1" t="str">
        <f>Partidas!H224</f>
        <v>Japan</v>
      </c>
      <c r="E224" s="1" t="str">
        <f>Partidas!I224</f>
        <v>Senegal</v>
      </c>
      <c r="F224" s="5">
        <f>Partidas!J224</f>
        <v>2</v>
      </c>
      <c r="G224" s="5">
        <f>Partidas!K224</f>
        <v>2</v>
      </c>
      <c r="H224" s="1" t="str">
        <f>Partidas!M224</f>
        <v>D</v>
      </c>
      <c r="I224" s="5">
        <f t="shared" si="54"/>
        <v>4</v>
      </c>
      <c r="J224" s="1" t="b">
        <f t="shared" si="55"/>
        <v>1</v>
      </c>
      <c r="K224" s="1" t="b">
        <f t="shared" si="56"/>
        <v>1</v>
      </c>
      <c r="L224" s="1" t="b">
        <f t="shared" si="57"/>
        <v>1</v>
      </c>
      <c r="M224" s="1" t="b">
        <f t="shared" si="58"/>
        <v>0</v>
      </c>
      <c r="N224" s="1" t="b">
        <f t="shared" si="59"/>
        <v>0</v>
      </c>
      <c r="O224" s="1" t="b">
        <f t="shared" si="60"/>
        <v>1</v>
      </c>
      <c r="P224" s="1" t="b">
        <f t="shared" si="61"/>
        <v>1</v>
      </c>
      <c r="Q224" s="1" t="b">
        <f t="shared" si="62"/>
        <v>0</v>
      </c>
      <c r="R224" s="1" t="b">
        <f t="shared" si="63"/>
        <v>1</v>
      </c>
      <c r="S224" s="5">
        <f>Partidas!T224</f>
        <v>2</v>
      </c>
      <c r="T224" s="5">
        <f>Partidas!U224</f>
        <v>5</v>
      </c>
      <c r="U224" s="5">
        <f t="shared" si="64"/>
        <v>7</v>
      </c>
      <c r="V224" s="5" t="b">
        <f t="shared" si="65"/>
        <v>0</v>
      </c>
      <c r="W224" s="5" t="b">
        <f t="shared" si="66"/>
        <v>0</v>
      </c>
      <c r="X224" s="5">
        <f>Partidas!X224</f>
        <v>2</v>
      </c>
      <c r="Y224" s="5">
        <f>Partidas!Y224</f>
        <v>3</v>
      </c>
      <c r="Z224" s="5">
        <f>Partidas!AG224</f>
        <v>0</v>
      </c>
      <c r="AA224" s="5">
        <f>Partidas!AH224</f>
        <v>0</v>
      </c>
      <c r="AB224" s="5">
        <f t="shared" si="67"/>
        <v>5</v>
      </c>
      <c r="AC224" s="1" t="b">
        <f t="shared" si="68"/>
        <v>1</v>
      </c>
      <c r="AD224" s="1" t="b">
        <f t="shared" si="69"/>
        <v>1</v>
      </c>
      <c r="AE224" s="1" t="b">
        <f t="shared" si="70"/>
        <v>0</v>
      </c>
      <c r="AF224" s="1" t="str">
        <f>Partidas!W224</f>
        <v>ok</v>
      </c>
      <c r="AG224" s="1" t="str">
        <f>Partidas!AK224</f>
        <v>ok</v>
      </c>
      <c r="AH224" s="1" t="str">
        <f t="shared" si="71"/>
        <v>Fjelstul World Cup Database + FootyStats CSV</v>
      </c>
      <c r="AI224" s="1">
        <f>Partidas!AX224</f>
        <v>0</v>
      </c>
    </row>
    <row r="225" spans="1:35" ht="15" customHeight="1">
      <c r="A225" s="1" t="str">
        <f>Partidas!C225</f>
        <v>M-2018-32</v>
      </c>
      <c r="B225" s="4">
        <f>Partidas!F225</f>
        <v>43275</v>
      </c>
      <c r="C225" s="1">
        <f>Partidas!A225</f>
        <v>2018</v>
      </c>
      <c r="D225" s="1" t="str">
        <f>Partidas!H225</f>
        <v>Poland</v>
      </c>
      <c r="E225" s="1" t="str">
        <f>Partidas!I225</f>
        <v>Colombia</v>
      </c>
      <c r="F225" s="5">
        <f>Partidas!J225</f>
        <v>0</v>
      </c>
      <c r="G225" s="5">
        <f>Partidas!K225</f>
        <v>3</v>
      </c>
      <c r="H225" s="1" t="str">
        <f>Partidas!M225</f>
        <v>A</v>
      </c>
      <c r="I225" s="5">
        <f t="shared" si="54"/>
        <v>3</v>
      </c>
      <c r="J225" s="1" t="b">
        <f t="shared" si="55"/>
        <v>1</v>
      </c>
      <c r="K225" s="1" t="b">
        <f t="shared" si="56"/>
        <v>1</v>
      </c>
      <c r="L225" s="1" t="b">
        <f t="shared" si="57"/>
        <v>0</v>
      </c>
      <c r="M225" s="1" t="b">
        <f t="shared" si="58"/>
        <v>0</v>
      </c>
      <c r="N225" s="1" t="b">
        <f t="shared" si="59"/>
        <v>1</v>
      </c>
      <c r="O225" s="1" t="b">
        <f t="shared" si="60"/>
        <v>0</v>
      </c>
      <c r="P225" s="1" t="b">
        <f t="shared" si="61"/>
        <v>0</v>
      </c>
      <c r="Q225" s="1" t="b">
        <f t="shared" si="62"/>
        <v>1</v>
      </c>
      <c r="R225" s="1" t="b">
        <f t="shared" si="63"/>
        <v>1</v>
      </c>
      <c r="S225" s="5">
        <f>Partidas!T225</f>
        <v>7</v>
      </c>
      <c r="T225" s="5">
        <f>Partidas!U225</f>
        <v>5</v>
      </c>
      <c r="U225" s="5">
        <f t="shared" si="64"/>
        <v>12</v>
      </c>
      <c r="V225" s="5" t="b">
        <f t="shared" si="65"/>
        <v>1</v>
      </c>
      <c r="W225" s="5" t="b">
        <f t="shared" si="66"/>
        <v>1</v>
      </c>
      <c r="X225" s="5">
        <f>Partidas!X225</f>
        <v>2</v>
      </c>
      <c r="Y225" s="5">
        <f>Partidas!Y225</f>
        <v>0</v>
      </c>
      <c r="Z225" s="5">
        <f>Partidas!AG225</f>
        <v>0</v>
      </c>
      <c r="AA225" s="5">
        <f>Partidas!AH225</f>
        <v>0</v>
      </c>
      <c r="AB225" s="5">
        <f t="shared" si="67"/>
        <v>2</v>
      </c>
      <c r="AC225" s="1" t="b">
        <f t="shared" si="68"/>
        <v>0</v>
      </c>
      <c r="AD225" s="1" t="b">
        <f t="shared" si="69"/>
        <v>0</v>
      </c>
      <c r="AE225" s="1" t="b">
        <f t="shared" si="70"/>
        <v>0</v>
      </c>
      <c r="AF225" s="1" t="str">
        <f>Partidas!W225</f>
        <v>ok</v>
      </c>
      <c r="AG225" s="1" t="str">
        <f>Partidas!AK225</f>
        <v>ok</v>
      </c>
      <c r="AH225" s="1" t="str">
        <f t="shared" si="71"/>
        <v>Fjelstul World Cup Database + FootyStats CSV</v>
      </c>
      <c r="AI225" s="1">
        <f>Partidas!AX225</f>
        <v>0</v>
      </c>
    </row>
    <row r="226" spans="1:35" ht="15" customHeight="1">
      <c r="A226" s="1" t="str">
        <f>Partidas!C226</f>
        <v>M-2018-33</v>
      </c>
      <c r="B226" s="4">
        <f>Partidas!F226</f>
        <v>43276</v>
      </c>
      <c r="C226" s="1">
        <f>Partidas!A226</f>
        <v>2018</v>
      </c>
      <c r="D226" s="1" t="str">
        <f>Partidas!H226</f>
        <v>Saudi Arabia</v>
      </c>
      <c r="E226" s="1" t="str">
        <f>Partidas!I226</f>
        <v>Egypt</v>
      </c>
      <c r="F226" s="5">
        <f>Partidas!J226</f>
        <v>2</v>
      </c>
      <c r="G226" s="5">
        <f>Partidas!K226</f>
        <v>1</v>
      </c>
      <c r="H226" s="1" t="str">
        <f>Partidas!M226</f>
        <v>H</v>
      </c>
      <c r="I226" s="5">
        <f t="shared" si="54"/>
        <v>3</v>
      </c>
      <c r="J226" s="1" t="b">
        <f t="shared" si="55"/>
        <v>1</v>
      </c>
      <c r="K226" s="1" t="b">
        <f t="shared" si="56"/>
        <v>1</v>
      </c>
      <c r="L226" s="1" t="b">
        <f t="shared" si="57"/>
        <v>0</v>
      </c>
      <c r="M226" s="1" t="b">
        <f t="shared" si="58"/>
        <v>0</v>
      </c>
      <c r="N226" s="1" t="b">
        <f t="shared" si="59"/>
        <v>1</v>
      </c>
      <c r="O226" s="1" t="b">
        <f t="shared" si="60"/>
        <v>1</v>
      </c>
      <c r="P226" s="1" t="b">
        <f t="shared" si="61"/>
        <v>1</v>
      </c>
      <c r="Q226" s="1" t="b">
        <f t="shared" si="62"/>
        <v>1</v>
      </c>
      <c r="R226" s="1" t="b">
        <f t="shared" si="63"/>
        <v>0</v>
      </c>
      <c r="S226" s="5">
        <f>Partidas!T226</f>
        <v>7</v>
      </c>
      <c r="T226" s="5">
        <f>Partidas!U226</f>
        <v>2</v>
      </c>
      <c r="U226" s="5">
        <f t="shared" si="64"/>
        <v>9</v>
      </c>
      <c r="V226" s="5" t="b">
        <f t="shared" si="65"/>
        <v>1</v>
      </c>
      <c r="W226" s="5" t="b">
        <f t="shared" si="66"/>
        <v>0</v>
      </c>
      <c r="X226" s="5">
        <f>Partidas!X226</f>
        <v>0</v>
      </c>
      <c r="Y226" s="5">
        <f>Partidas!Y226</f>
        <v>2</v>
      </c>
      <c r="Z226" s="5">
        <f>Partidas!AG226</f>
        <v>0</v>
      </c>
      <c r="AA226" s="5">
        <f>Partidas!AH226</f>
        <v>0</v>
      </c>
      <c r="AB226" s="5">
        <f t="shared" si="67"/>
        <v>2</v>
      </c>
      <c r="AC226" s="1" t="b">
        <f t="shared" si="68"/>
        <v>0</v>
      </c>
      <c r="AD226" s="1" t="b">
        <f t="shared" si="69"/>
        <v>0</v>
      </c>
      <c r="AE226" s="1" t="b">
        <f t="shared" si="70"/>
        <v>0</v>
      </c>
      <c r="AF226" s="1" t="str">
        <f>Partidas!W226</f>
        <v>ok</v>
      </c>
      <c r="AG226" s="1" t="str">
        <f>Partidas!AK226</f>
        <v>ok</v>
      </c>
      <c r="AH226" s="1" t="str">
        <f t="shared" si="71"/>
        <v>Fjelstul World Cup Database + FootyStats CSV</v>
      </c>
      <c r="AI226" s="1">
        <f>Partidas!AX226</f>
        <v>0</v>
      </c>
    </row>
    <row r="227" spans="1:35" ht="15" customHeight="1">
      <c r="A227" s="1" t="str">
        <f>Partidas!C227</f>
        <v>M-2018-34</v>
      </c>
      <c r="B227" s="4">
        <f>Partidas!F227</f>
        <v>43276</v>
      </c>
      <c r="C227" s="1">
        <f>Partidas!A227</f>
        <v>2018</v>
      </c>
      <c r="D227" s="1" t="str">
        <f>Partidas!H227</f>
        <v>Uruguay</v>
      </c>
      <c r="E227" s="1" t="str">
        <f>Partidas!I227</f>
        <v>Russia</v>
      </c>
      <c r="F227" s="5">
        <f>Partidas!J227</f>
        <v>3</v>
      </c>
      <c r="G227" s="5">
        <f>Partidas!K227</f>
        <v>0</v>
      </c>
      <c r="H227" s="1" t="str">
        <f>Partidas!M227</f>
        <v>H</v>
      </c>
      <c r="I227" s="5">
        <f t="shared" si="54"/>
        <v>3</v>
      </c>
      <c r="J227" s="1" t="b">
        <f t="shared" si="55"/>
        <v>1</v>
      </c>
      <c r="K227" s="1" t="b">
        <f t="shared" si="56"/>
        <v>1</v>
      </c>
      <c r="L227" s="1" t="b">
        <f t="shared" si="57"/>
        <v>0</v>
      </c>
      <c r="M227" s="1" t="b">
        <f t="shared" si="58"/>
        <v>0</v>
      </c>
      <c r="N227" s="1" t="b">
        <f t="shared" si="59"/>
        <v>1</v>
      </c>
      <c r="O227" s="1" t="b">
        <f t="shared" si="60"/>
        <v>0</v>
      </c>
      <c r="P227" s="1" t="b">
        <f t="shared" si="61"/>
        <v>1</v>
      </c>
      <c r="Q227" s="1" t="b">
        <f t="shared" si="62"/>
        <v>1</v>
      </c>
      <c r="R227" s="1" t="b">
        <f t="shared" si="63"/>
        <v>0</v>
      </c>
      <c r="S227" s="5">
        <f>Partidas!T227</f>
        <v>4</v>
      </c>
      <c r="T227" s="5">
        <f>Partidas!U227</f>
        <v>2</v>
      </c>
      <c r="U227" s="5">
        <f t="shared" si="64"/>
        <v>6</v>
      </c>
      <c r="V227" s="5" t="b">
        <f t="shared" si="65"/>
        <v>0</v>
      </c>
      <c r="W227" s="5" t="b">
        <f t="shared" si="66"/>
        <v>0</v>
      </c>
      <c r="X227" s="5">
        <f>Partidas!X227</f>
        <v>1</v>
      </c>
      <c r="Y227" s="5">
        <f>Partidas!Y227</f>
        <v>2</v>
      </c>
      <c r="Z227" s="5">
        <f>Partidas!AG227</f>
        <v>0</v>
      </c>
      <c r="AA227" s="5">
        <f>Partidas!AH227</f>
        <v>1</v>
      </c>
      <c r="AB227" s="5">
        <f t="shared" si="67"/>
        <v>4</v>
      </c>
      <c r="AC227" s="1" t="b">
        <f t="shared" si="68"/>
        <v>1</v>
      </c>
      <c r="AD227" s="1" t="b">
        <f t="shared" si="69"/>
        <v>0</v>
      </c>
      <c r="AE227" s="1" t="b">
        <f t="shared" si="70"/>
        <v>0</v>
      </c>
      <c r="AF227" s="1" t="str">
        <f>Partidas!W227</f>
        <v>ok</v>
      </c>
      <c r="AG227" s="1" t="str">
        <f>Partidas!AK227</f>
        <v>ok</v>
      </c>
      <c r="AH227" s="1" t="str">
        <f t="shared" si="71"/>
        <v>Fjelstul World Cup Database + FootyStats CSV</v>
      </c>
      <c r="AI227" s="1">
        <f>Partidas!AX227</f>
        <v>0</v>
      </c>
    </row>
    <row r="228" spans="1:35" ht="15" customHeight="1">
      <c r="A228" s="1" t="str">
        <f>Partidas!C228</f>
        <v>M-2018-35</v>
      </c>
      <c r="B228" s="4">
        <f>Partidas!F228</f>
        <v>43276</v>
      </c>
      <c r="C228" s="1">
        <f>Partidas!A228</f>
        <v>2018</v>
      </c>
      <c r="D228" s="1" t="str">
        <f>Partidas!H228</f>
        <v>Spain</v>
      </c>
      <c r="E228" s="1" t="str">
        <f>Partidas!I228</f>
        <v>Morocco</v>
      </c>
      <c r="F228" s="5">
        <f>Partidas!J228</f>
        <v>2</v>
      </c>
      <c r="G228" s="5">
        <f>Partidas!K228</f>
        <v>2</v>
      </c>
      <c r="H228" s="1" t="str">
        <f>Partidas!M228</f>
        <v>D</v>
      </c>
      <c r="I228" s="5">
        <f t="shared" si="54"/>
        <v>4</v>
      </c>
      <c r="J228" s="1" t="b">
        <f t="shared" si="55"/>
        <v>1</v>
      </c>
      <c r="K228" s="1" t="b">
        <f t="shared" si="56"/>
        <v>1</v>
      </c>
      <c r="L228" s="1" t="b">
        <f t="shared" si="57"/>
        <v>1</v>
      </c>
      <c r="M228" s="1" t="b">
        <f t="shared" si="58"/>
        <v>0</v>
      </c>
      <c r="N228" s="1" t="b">
        <f t="shared" si="59"/>
        <v>0</v>
      </c>
      <c r="O228" s="1" t="b">
        <f t="shared" si="60"/>
        <v>1</v>
      </c>
      <c r="P228" s="1" t="b">
        <f t="shared" si="61"/>
        <v>1</v>
      </c>
      <c r="Q228" s="1" t="b">
        <f t="shared" si="62"/>
        <v>0</v>
      </c>
      <c r="R228" s="1" t="b">
        <f t="shared" si="63"/>
        <v>1</v>
      </c>
      <c r="S228" s="5">
        <f>Partidas!T228</f>
        <v>7</v>
      </c>
      <c r="T228" s="5">
        <f>Partidas!U228</f>
        <v>1</v>
      </c>
      <c r="U228" s="5">
        <f t="shared" si="64"/>
        <v>8</v>
      </c>
      <c r="V228" s="5" t="b">
        <f t="shared" si="65"/>
        <v>0</v>
      </c>
      <c r="W228" s="5" t="b">
        <f t="shared" si="66"/>
        <v>0</v>
      </c>
      <c r="X228" s="5">
        <f>Partidas!X228</f>
        <v>0</v>
      </c>
      <c r="Y228" s="5">
        <f>Partidas!Y228</f>
        <v>6</v>
      </c>
      <c r="Z228" s="5">
        <f>Partidas!AG228</f>
        <v>0</v>
      </c>
      <c r="AA228" s="5">
        <f>Partidas!AH228</f>
        <v>0</v>
      </c>
      <c r="AB228" s="5">
        <f t="shared" si="67"/>
        <v>6</v>
      </c>
      <c r="AC228" s="1" t="b">
        <f t="shared" si="68"/>
        <v>1</v>
      </c>
      <c r="AD228" s="1" t="b">
        <f t="shared" si="69"/>
        <v>1</v>
      </c>
      <c r="AE228" s="1" t="b">
        <f t="shared" si="70"/>
        <v>1</v>
      </c>
      <c r="AF228" s="1" t="str">
        <f>Partidas!W228</f>
        <v>ok</v>
      </c>
      <c r="AG228" s="1" t="str">
        <f>Partidas!AK228</f>
        <v>ok</v>
      </c>
      <c r="AH228" s="1" t="str">
        <f t="shared" si="71"/>
        <v>Fjelstul World Cup Database + FootyStats CSV</v>
      </c>
      <c r="AI228" s="1">
        <f>Partidas!AX228</f>
        <v>0</v>
      </c>
    </row>
    <row r="229" spans="1:35" ht="15" customHeight="1">
      <c r="A229" s="1" t="str">
        <f>Partidas!C229</f>
        <v>M-2018-36</v>
      </c>
      <c r="B229" s="4">
        <f>Partidas!F229</f>
        <v>43276</v>
      </c>
      <c r="C229" s="1">
        <f>Partidas!A229</f>
        <v>2018</v>
      </c>
      <c r="D229" s="1" t="str">
        <f>Partidas!H229</f>
        <v>Iran</v>
      </c>
      <c r="E229" s="1" t="str">
        <f>Partidas!I229</f>
        <v>Portugal</v>
      </c>
      <c r="F229" s="5">
        <f>Partidas!J229</f>
        <v>1</v>
      </c>
      <c r="G229" s="5">
        <f>Partidas!K229</f>
        <v>1</v>
      </c>
      <c r="H229" s="1" t="str">
        <f>Partidas!M229</f>
        <v>D</v>
      </c>
      <c r="I229" s="5">
        <f t="shared" si="54"/>
        <v>2</v>
      </c>
      <c r="J229" s="1" t="b">
        <f t="shared" si="55"/>
        <v>1</v>
      </c>
      <c r="K229" s="1" t="b">
        <f t="shared" si="56"/>
        <v>0</v>
      </c>
      <c r="L229" s="1" t="b">
        <f t="shared" si="57"/>
        <v>0</v>
      </c>
      <c r="M229" s="1" t="b">
        <f t="shared" si="58"/>
        <v>1</v>
      </c>
      <c r="N229" s="1" t="b">
        <f t="shared" si="59"/>
        <v>1</v>
      </c>
      <c r="O229" s="1" t="b">
        <f t="shared" si="60"/>
        <v>1</v>
      </c>
      <c r="P229" s="1" t="b">
        <f t="shared" si="61"/>
        <v>1</v>
      </c>
      <c r="Q229" s="1" t="b">
        <f t="shared" si="62"/>
        <v>0</v>
      </c>
      <c r="R229" s="1" t="b">
        <f t="shared" si="63"/>
        <v>1</v>
      </c>
      <c r="S229" s="5">
        <f>Partidas!T229</f>
        <v>1</v>
      </c>
      <c r="T229" s="5">
        <f>Partidas!U229</f>
        <v>5</v>
      </c>
      <c r="U229" s="5">
        <f t="shared" si="64"/>
        <v>6</v>
      </c>
      <c r="V229" s="5" t="b">
        <f t="shared" si="65"/>
        <v>0</v>
      </c>
      <c r="W229" s="5" t="b">
        <f t="shared" si="66"/>
        <v>0</v>
      </c>
      <c r="X229" s="5">
        <f>Partidas!X229</f>
        <v>2</v>
      </c>
      <c r="Y229" s="5">
        <f>Partidas!Y229</f>
        <v>4</v>
      </c>
      <c r="Z229" s="5">
        <f>Partidas!AG229</f>
        <v>0</v>
      </c>
      <c r="AA229" s="5">
        <f>Partidas!AH229</f>
        <v>0</v>
      </c>
      <c r="AB229" s="5">
        <f t="shared" si="67"/>
        <v>6</v>
      </c>
      <c r="AC229" s="1" t="b">
        <f t="shared" si="68"/>
        <v>1</v>
      </c>
      <c r="AD229" s="1" t="b">
        <f t="shared" si="69"/>
        <v>1</v>
      </c>
      <c r="AE229" s="1" t="b">
        <f t="shared" si="70"/>
        <v>1</v>
      </c>
      <c r="AF229" s="1" t="str">
        <f>Partidas!W229</f>
        <v>ok</v>
      </c>
      <c r="AG229" s="1" t="str">
        <f>Partidas!AK229</f>
        <v>ok</v>
      </c>
      <c r="AH229" s="1" t="str">
        <f t="shared" si="71"/>
        <v>Fjelstul World Cup Database + FootyStats CSV</v>
      </c>
      <c r="AI229" s="1">
        <f>Partidas!AX229</f>
        <v>0</v>
      </c>
    </row>
    <row r="230" spans="1:35" ht="15" customHeight="1">
      <c r="A230" s="1" t="str">
        <f>Partidas!C230</f>
        <v>M-2018-37</v>
      </c>
      <c r="B230" s="4">
        <f>Partidas!F230</f>
        <v>43277</v>
      </c>
      <c r="C230" s="1">
        <f>Partidas!A230</f>
        <v>2018</v>
      </c>
      <c r="D230" s="1" t="str">
        <f>Partidas!H230</f>
        <v>Australia</v>
      </c>
      <c r="E230" s="1" t="str">
        <f>Partidas!I230</f>
        <v>Peru</v>
      </c>
      <c r="F230" s="5">
        <f>Partidas!J230</f>
        <v>0</v>
      </c>
      <c r="G230" s="5">
        <f>Partidas!K230</f>
        <v>2</v>
      </c>
      <c r="H230" s="1" t="str">
        <f>Partidas!M230</f>
        <v>A</v>
      </c>
      <c r="I230" s="5">
        <f t="shared" si="54"/>
        <v>2</v>
      </c>
      <c r="J230" s="1" t="b">
        <f t="shared" si="55"/>
        <v>1</v>
      </c>
      <c r="K230" s="1" t="b">
        <f t="shared" si="56"/>
        <v>0</v>
      </c>
      <c r="L230" s="1" t="b">
        <f t="shared" si="57"/>
        <v>0</v>
      </c>
      <c r="M230" s="1" t="b">
        <f t="shared" si="58"/>
        <v>1</v>
      </c>
      <c r="N230" s="1" t="b">
        <f t="shared" si="59"/>
        <v>1</v>
      </c>
      <c r="O230" s="1" t="b">
        <f t="shared" si="60"/>
        <v>0</v>
      </c>
      <c r="P230" s="1" t="b">
        <f t="shared" si="61"/>
        <v>0</v>
      </c>
      <c r="Q230" s="1" t="b">
        <f t="shared" si="62"/>
        <v>1</v>
      </c>
      <c r="R230" s="1" t="b">
        <f t="shared" si="63"/>
        <v>1</v>
      </c>
      <c r="S230" s="5">
        <f>Partidas!T230</f>
        <v>8</v>
      </c>
      <c r="T230" s="5">
        <f>Partidas!U230</f>
        <v>3</v>
      </c>
      <c r="U230" s="5">
        <f t="shared" si="64"/>
        <v>11</v>
      </c>
      <c r="V230" s="5" t="b">
        <f t="shared" si="65"/>
        <v>1</v>
      </c>
      <c r="W230" s="5" t="b">
        <f t="shared" si="66"/>
        <v>1</v>
      </c>
      <c r="X230" s="5">
        <f>Partidas!X230</f>
        <v>4</v>
      </c>
      <c r="Y230" s="5">
        <f>Partidas!Y230</f>
        <v>2</v>
      </c>
      <c r="Z230" s="5">
        <f>Partidas!AG230</f>
        <v>0</v>
      </c>
      <c r="AA230" s="5">
        <f>Partidas!AH230</f>
        <v>0</v>
      </c>
      <c r="AB230" s="5">
        <f t="shared" si="67"/>
        <v>6</v>
      </c>
      <c r="AC230" s="1" t="b">
        <f t="shared" si="68"/>
        <v>1</v>
      </c>
      <c r="AD230" s="1" t="b">
        <f t="shared" si="69"/>
        <v>1</v>
      </c>
      <c r="AE230" s="1" t="b">
        <f t="shared" si="70"/>
        <v>1</v>
      </c>
      <c r="AF230" s="1" t="str">
        <f>Partidas!W230</f>
        <v>ok</v>
      </c>
      <c r="AG230" s="1" t="str">
        <f>Partidas!AK230</f>
        <v>ok</v>
      </c>
      <c r="AH230" s="1" t="str">
        <f t="shared" si="71"/>
        <v>Fjelstul World Cup Database + FootyStats CSV</v>
      </c>
      <c r="AI230" s="1">
        <f>Partidas!AX230</f>
        <v>0</v>
      </c>
    </row>
    <row r="231" spans="1:35" ht="15" customHeight="1">
      <c r="A231" s="1" t="str">
        <f>Partidas!C231</f>
        <v>M-2018-38</v>
      </c>
      <c r="B231" s="4">
        <f>Partidas!F231</f>
        <v>43277</v>
      </c>
      <c r="C231" s="1">
        <f>Partidas!A231</f>
        <v>2018</v>
      </c>
      <c r="D231" s="1" t="str">
        <f>Partidas!H231</f>
        <v>Denmark</v>
      </c>
      <c r="E231" s="1" t="str">
        <f>Partidas!I231</f>
        <v>France</v>
      </c>
      <c r="F231" s="5">
        <f>Partidas!J231</f>
        <v>0</v>
      </c>
      <c r="G231" s="5">
        <f>Partidas!K231</f>
        <v>0</v>
      </c>
      <c r="H231" s="1" t="str">
        <f>Partidas!M231</f>
        <v>D</v>
      </c>
      <c r="I231" s="5">
        <f t="shared" si="54"/>
        <v>0</v>
      </c>
      <c r="J231" s="1" t="b">
        <f t="shared" si="55"/>
        <v>0</v>
      </c>
      <c r="K231" s="1" t="b">
        <f t="shared" si="56"/>
        <v>0</v>
      </c>
      <c r="L231" s="1" t="b">
        <f t="shared" si="57"/>
        <v>0</v>
      </c>
      <c r="M231" s="1" t="b">
        <f t="shared" si="58"/>
        <v>1</v>
      </c>
      <c r="N231" s="1" t="b">
        <f t="shared" si="59"/>
        <v>1</v>
      </c>
      <c r="O231" s="1" t="b">
        <f t="shared" si="60"/>
        <v>0</v>
      </c>
      <c r="P231" s="1" t="b">
        <f t="shared" si="61"/>
        <v>1</v>
      </c>
      <c r="Q231" s="1" t="b">
        <f t="shared" si="62"/>
        <v>0</v>
      </c>
      <c r="R231" s="1" t="b">
        <f t="shared" si="63"/>
        <v>1</v>
      </c>
      <c r="S231" s="5">
        <f>Partidas!T231</f>
        <v>4</v>
      </c>
      <c r="T231" s="5">
        <f>Partidas!U231</f>
        <v>2</v>
      </c>
      <c r="U231" s="5">
        <f t="shared" si="64"/>
        <v>6</v>
      </c>
      <c r="V231" s="5" t="b">
        <f t="shared" si="65"/>
        <v>0</v>
      </c>
      <c r="W231" s="5" t="b">
        <f t="shared" si="66"/>
        <v>0</v>
      </c>
      <c r="X231" s="5">
        <f>Partidas!X231</f>
        <v>1</v>
      </c>
      <c r="Y231" s="5">
        <f>Partidas!Y231</f>
        <v>0</v>
      </c>
      <c r="Z231" s="5">
        <f>Partidas!AG231</f>
        <v>0</v>
      </c>
      <c r="AA231" s="5">
        <f>Partidas!AH231</f>
        <v>0</v>
      </c>
      <c r="AB231" s="5">
        <f t="shared" si="67"/>
        <v>1</v>
      </c>
      <c r="AC231" s="1" t="b">
        <f t="shared" si="68"/>
        <v>0</v>
      </c>
      <c r="AD231" s="1" t="b">
        <f t="shared" si="69"/>
        <v>0</v>
      </c>
      <c r="AE231" s="1" t="b">
        <f t="shared" si="70"/>
        <v>0</v>
      </c>
      <c r="AF231" s="1" t="str">
        <f>Partidas!W231</f>
        <v>ok</v>
      </c>
      <c r="AG231" s="1" t="str">
        <f>Partidas!AK231</f>
        <v>ok</v>
      </c>
      <c r="AH231" s="1" t="str">
        <f t="shared" si="71"/>
        <v>Fjelstul World Cup Database + FootyStats CSV</v>
      </c>
      <c r="AI231" s="1">
        <f>Partidas!AX231</f>
        <v>0</v>
      </c>
    </row>
    <row r="232" spans="1:35" ht="15" customHeight="1">
      <c r="A232" s="1" t="str">
        <f>Partidas!C232</f>
        <v>M-2018-39</v>
      </c>
      <c r="B232" s="4">
        <f>Partidas!F232</f>
        <v>43277</v>
      </c>
      <c r="C232" s="1">
        <f>Partidas!A232</f>
        <v>2018</v>
      </c>
      <c r="D232" s="1" t="str">
        <f>Partidas!H232</f>
        <v>Iceland</v>
      </c>
      <c r="E232" s="1" t="str">
        <f>Partidas!I232</f>
        <v>Croatia</v>
      </c>
      <c r="F232" s="5">
        <f>Partidas!J232</f>
        <v>1</v>
      </c>
      <c r="G232" s="5">
        <f>Partidas!K232</f>
        <v>2</v>
      </c>
      <c r="H232" s="1" t="str">
        <f>Partidas!M232</f>
        <v>A</v>
      </c>
      <c r="I232" s="5">
        <f t="shared" si="54"/>
        <v>3</v>
      </c>
      <c r="J232" s="1" t="b">
        <f t="shared" si="55"/>
        <v>1</v>
      </c>
      <c r="K232" s="1" t="b">
        <f t="shared" si="56"/>
        <v>1</v>
      </c>
      <c r="L232" s="1" t="b">
        <f t="shared" si="57"/>
        <v>0</v>
      </c>
      <c r="M232" s="1" t="b">
        <f t="shared" si="58"/>
        <v>0</v>
      </c>
      <c r="N232" s="1" t="b">
        <f t="shared" si="59"/>
        <v>1</v>
      </c>
      <c r="O232" s="1" t="b">
        <f t="shared" si="60"/>
        <v>1</v>
      </c>
      <c r="P232" s="1" t="b">
        <f t="shared" si="61"/>
        <v>0</v>
      </c>
      <c r="Q232" s="1" t="b">
        <f t="shared" si="62"/>
        <v>1</v>
      </c>
      <c r="R232" s="1" t="b">
        <f t="shared" si="63"/>
        <v>1</v>
      </c>
      <c r="S232" s="5">
        <f>Partidas!T232</f>
        <v>10</v>
      </c>
      <c r="T232" s="5">
        <f>Partidas!U232</f>
        <v>5</v>
      </c>
      <c r="U232" s="5">
        <f t="shared" si="64"/>
        <v>15</v>
      </c>
      <c r="V232" s="5" t="b">
        <f t="shared" si="65"/>
        <v>1</v>
      </c>
      <c r="W232" s="5" t="b">
        <f t="shared" si="66"/>
        <v>1</v>
      </c>
      <c r="X232" s="5">
        <f>Partidas!X232</f>
        <v>3</v>
      </c>
      <c r="Y232" s="5">
        <f>Partidas!Y232</f>
        <v>2</v>
      </c>
      <c r="Z232" s="5">
        <f>Partidas!AG232</f>
        <v>0</v>
      </c>
      <c r="AA232" s="5">
        <f>Partidas!AH232</f>
        <v>0</v>
      </c>
      <c r="AB232" s="5">
        <f t="shared" si="67"/>
        <v>5</v>
      </c>
      <c r="AC232" s="1" t="b">
        <f t="shared" si="68"/>
        <v>1</v>
      </c>
      <c r="AD232" s="1" t="b">
        <f t="shared" si="69"/>
        <v>1</v>
      </c>
      <c r="AE232" s="1" t="b">
        <f t="shared" si="70"/>
        <v>0</v>
      </c>
      <c r="AF232" s="1" t="str">
        <f>Partidas!W232</f>
        <v>ok</v>
      </c>
      <c r="AG232" s="1" t="str">
        <f>Partidas!AK232</f>
        <v>ok</v>
      </c>
      <c r="AH232" s="1" t="str">
        <f t="shared" si="71"/>
        <v>Fjelstul World Cup Database + FootyStats CSV</v>
      </c>
      <c r="AI232" s="1">
        <f>Partidas!AX232</f>
        <v>0</v>
      </c>
    </row>
    <row r="233" spans="1:35" ht="15" customHeight="1">
      <c r="A233" s="1" t="str">
        <f>Partidas!C233</f>
        <v>M-2018-40</v>
      </c>
      <c r="B233" s="4">
        <f>Partidas!F233</f>
        <v>43277</v>
      </c>
      <c r="C233" s="1">
        <f>Partidas!A233</f>
        <v>2018</v>
      </c>
      <c r="D233" s="1" t="str">
        <f>Partidas!H233</f>
        <v>Nigeria</v>
      </c>
      <c r="E233" s="1" t="str">
        <f>Partidas!I233</f>
        <v>Argentina</v>
      </c>
      <c r="F233" s="5">
        <f>Partidas!J233</f>
        <v>1</v>
      </c>
      <c r="G233" s="5">
        <f>Partidas!K233</f>
        <v>2</v>
      </c>
      <c r="H233" s="1" t="str">
        <f>Partidas!M233</f>
        <v>A</v>
      </c>
      <c r="I233" s="5">
        <f t="shared" si="54"/>
        <v>3</v>
      </c>
      <c r="J233" s="1" t="b">
        <f t="shared" si="55"/>
        <v>1</v>
      </c>
      <c r="K233" s="1" t="b">
        <f t="shared" si="56"/>
        <v>1</v>
      </c>
      <c r="L233" s="1" t="b">
        <f t="shared" si="57"/>
        <v>0</v>
      </c>
      <c r="M233" s="1" t="b">
        <f t="shared" si="58"/>
        <v>0</v>
      </c>
      <c r="N233" s="1" t="b">
        <f t="shared" si="59"/>
        <v>1</v>
      </c>
      <c r="O233" s="1" t="b">
        <f t="shared" si="60"/>
        <v>1</v>
      </c>
      <c r="P233" s="1" t="b">
        <f t="shared" si="61"/>
        <v>0</v>
      </c>
      <c r="Q233" s="1" t="b">
        <f t="shared" si="62"/>
        <v>1</v>
      </c>
      <c r="R233" s="1" t="b">
        <f t="shared" si="63"/>
        <v>1</v>
      </c>
      <c r="S233" s="5">
        <f>Partidas!T233</f>
        <v>3</v>
      </c>
      <c r="T233" s="5">
        <f>Partidas!U233</f>
        <v>5</v>
      </c>
      <c r="U233" s="5">
        <f t="shared" si="64"/>
        <v>8</v>
      </c>
      <c r="V233" s="5" t="b">
        <f t="shared" si="65"/>
        <v>0</v>
      </c>
      <c r="W233" s="5" t="b">
        <f t="shared" si="66"/>
        <v>0</v>
      </c>
      <c r="X233" s="5">
        <f>Partidas!X233</f>
        <v>2</v>
      </c>
      <c r="Y233" s="5">
        <f>Partidas!Y233</f>
        <v>3</v>
      </c>
      <c r="Z233" s="5">
        <f>Partidas!AG233</f>
        <v>0</v>
      </c>
      <c r="AA233" s="5">
        <f>Partidas!AH233</f>
        <v>0</v>
      </c>
      <c r="AB233" s="5">
        <f t="shared" si="67"/>
        <v>5</v>
      </c>
      <c r="AC233" s="1" t="b">
        <f t="shared" si="68"/>
        <v>1</v>
      </c>
      <c r="AD233" s="1" t="b">
        <f t="shared" si="69"/>
        <v>1</v>
      </c>
      <c r="AE233" s="1" t="b">
        <f t="shared" si="70"/>
        <v>0</v>
      </c>
      <c r="AF233" s="1" t="str">
        <f>Partidas!W233</f>
        <v>ok</v>
      </c>
      <c r="AG233" s="1" t="str">
        <f>Partidas!AK233</f>
        <v>ok</v>
      </c>
      <c r="AH233" s="1" t="str">
        <f t="shared" si="71"/>
        <v>Fjelstul World Cup Database + FootyStats CSV</v>
      </c>
      <c r="AI233" s="1">
        <f>Partidas!AX233</f>
        <v>0</v>
      </c>
    </row>
    <row r="234" spans="1:35" ht="15" customHeight="1">
      <c r="A234" s="1" t="str">
        <f>Partidas!C234</f>
        <v>M-2018-41</v>
      </c>
      <c r="B234" s="4">
        <f>Partidas!F234</f>
        <v>43278</v>
      </c>
      <c r="C234" s="1">
        <f>Partidas!A234</f>
        <v>2018</v>
      </c>
      <c r="D234" s="1" t="str">
        <f>Partidas!H234</f>
        <v>South Korea</v>
      </c>
      <c r="E234" s="1" t="str">
        <f>Partidas!I234</f>
        <v>Germany</v>
      </c>
      <c r="F234" s="5">
        <f>Partidas!J234</f>
        <v>2</v>
      </c>
      <c r="G234" s="5">
        <f>Partidas!K234</f>
        <v>0</v>
      </c>
      <c r="H234" s="1" t="str">
        <f>Partidas!M234</f>
        <v>H</v>
      </c>
      <c r="I234" s="5">
        <f t="shared" si="54"/>
        <v>2</v>
      </c>
      <c r="J234" s="1" t="b">
        <f t="shared" si="55"/>
        <v>1</v>
      </c>
      <c r="K234" s="1" t="b">
        <f t="shared" si="56"/>
        <v>0</v>
      </c>
      <c r="L234" s="1" t="b">
        <f t="shared" si="57"/>
        <v>0</v>
      </c>
      <c r="M234" s="1" t="b">
        <f t="shared" si="58"/>
        <v>1</v>
      </c>
      <c r="N234" s="1" t="b">
        <f t="shared" si="59"/>
        <v>1</v>
      </c>
      <c r="O234" s="1" t="b">
        <f t="shared" si="60"/>
        <v>0</v>
      </c>
      <c r="P234" s="1" t="b">
        <f t="shared" si="61"/>
        <v>1</v>
      </c>
      <c r="Q234" s="1" t="b">
        <f t="shared" si="62"/>
        <v>1</v>
      </c>
      <c r="R234" s="1" t="b">
        <f t="shared" si="63"/>
        <v>0</v>
      </c>
      <c r="S234" s="5">
        <f>Partidas!T234</f>
        <v>3</v>
      </c>
      <c r="T234" s="5">
        <f>Partidas!U234</f>
        <v>9</v>
      </c>
      <c r="U234" s="5">
        <f t="shared" si="64"/>
        <v>12</v>
      </c>
      <c r="V234" s="5" t="b">
        <f t="shared" si="65"/>
        <v>1</v>
      </c>
      <c r="W234" s="5" t="b">
        <f t="shared" si="66"/>
        <v>1</v>
      </c>
      <c r="X234" s="5">
        <f>Partidas!X234</f>
        <v>4</v>
      </c>
      <c r="Y234" s="5">
        <f>Partidas!Y234</f>
        <v>0</v>
      </c>
      <c r="Z234" s="5">
        <f>Partidas!AG234</f>
        <v>0</v>
      </c>
      <c r="AA234" s="5">
        <f>Partidas!AH234</f>
        <v>0</v>
      </c>
      <c r="AB234" s="5">
        <f t="shared" si="67"/>
        <v>4</v>
      </c>
      <c r="AC234" s="1" t="b">
        <f t="shared" si="68"/>
        <v>1</v>
      </c>
      <c r="AD234" s="1" t="b">
        <f t="shared" si="69"/>
        <v>0</v>
      </c>
      <c r="AE234" s="1" t="b">
        <f t="shared" si="70"/>
        <v>0</v>
      </c>
      <c r="AF234" s="1" t="str">
        <f>Partidas!W234</f>
        <v>ok</v>
      </c>
      <c r="AG234" s="1" t="str">
        <f>Partidas!AK234</f>
        <v>ok</v>
      </c>
      <c r="AH234" s="1" t="str">
        <f t="shared" si="71"/>
        <v>Fjelstul World Cup Database + FootyStats CSV</v>
      </c>
      <c r="AI234" s="1">
        <f>Partidas!AX234</f>
        <v>0</v>
      </c>
    </row>
    <row r="235" spans="1:35" ht="15" customHeight="1">
      <c r="A235" s="1" t="str">
        <f>Partidas!C235</f>
        <v>M-2018-42</v>
      </c>
      <c r="B235" s="4">
        <f>Partidas!F235</f>
        <v>43278</v>
      </c>
      <c r="C235" s="1">
        <f>Partidas!A235</f>
        <v>2018</v>
      </c>
      <c r="D235" s="1" t="str">
        <f>Partidas!H235</f>
        <v>Mexico</v>
      </c>
      <c r="E235" s="1" t="str">
        <f>Partidas!I235</f>
        <v>Sweden</v>
      </c>
      <c r="F235" s="5">
        <f>Partidas!J235</f>
        <v>0</v>
      </c>
      <c r="G235" s="5">
        <f>Partidas!K235</f>
        <v>3</v>
      </c>
      <c r="H235" s="1" t="str">
        <f>Partidas!M235</f>
        <v>A</v>
      </c>
      <c r="I235" s="5">
        <f t="shared" si="54"/>
        <v>3</v>
      </c>
      <c r="J235" s="1" t="b">
        <f t="shared" si="55"/>
        <v>1</v>
      </c>
      <c r="K235" s="1" t="b">
        <f t="shared" si="56"/>
        <v>1</v>
      </c>
      <c r="L235" s="1" t="b">
        <f t="shared" si="57"/>
        <v>0</v>
      </c>
      <c r="M235" s="1" t="b">
        <f t="shared" si="58"/>
        <v>0</v>
      </c>
      <c r="N235" s="1" t="b">
        <f t="shared" si="59"/>
        <v>1</v>
      </c>
      <c r="O235" s="1" t="b">
        <f t="shared" si="60"/>
        <v>0</v>
      </c>
      <c r="P235" s="1" t="b">
        <f t="shared" si="61"/>
        <v>0</v>
      </c>
      <c r="Q235" s="1" t="b">
        <f t="shared" si="62"/>
        <v>1</v>
      </c>
      <c r="R235" s="1" t="b">
        <f t="shared" si="63"/>
        <v>1</v>
      </c>
      <c r="S235" s="5">
        <f>Partidas!T235</f>
        <v>7</v>
      </c>
      <c r="T235" s="5">
        <f>Partidas!U235</f>
        <v>3</v>
      </c>
      <c r="U235" s="5">
        <f t="shared" si="64"/>
        <v>10</v>
      </c>
      <c r="V235" s="5" t="b">
        <f t="shared" si="65"/>
        <v>1</v>
      </c>
      <c r="W235" s="5" t="b">
        <f t="shared" si="66"/>
        <v>1</v>
      </c>
      <c r="X235" s="5">
        <f>Partidas!X235</f>
        <v>3</v>
      </c>
      <c r="Y235" s="5">
        <f>Partidas!Y235</f>
        <v>2</v>
      </c>
      <c r="Z235" s="5">
        <f>Partidas!AG235</f>
        <v>0</v>
      </c>
      <c r="AA235" s="5">
        <f>Partidas!AH235</f>
        <v>0</v>
      </c>
      <c r="AB235" s="5">
        <f t="shared" si="67"/>
        <v>5</v>
      </c>
      <c r="AC235" s="1" t="b">
        <f t="shared" si="68"/>
        <v>1</v>
      </c>
      <c r="AD235" s="1" t="b">
        <f t="shared" si="69"/>
        <v>1</v>
      </c>
      <c r="AE235" s="1" t="b">
        <f t="shared" si="70"/>
        <v>0</v>
      </c>
      <c r="AF235" s="1" t="str">
        <f>Partidas!W235</f>
        <v>ok</v>
      </c>
      <c r="AG235" s="1" t="str">
        <f>Partidas!AK235</f>
        <v>ok</v>
      </c>
      <c r="AH235" s="1" t="str">
        <f t="shared" si="71"/>
        <v>Fjelstul World Cup Database + FootyStats CSV</v>
      </c>
      <c r="AI235" s="1">
        <f>Partidas!AX235</f>
        <v>0</v>
      </c>
    </row>
    <row r="236" spans="1:35" ht="15" customHeight="1">
      <c r="A236" s="1" t="str">
        <f>Partidas!C236</f>
        <v>M-2018-43</v>
      </c>
      <c r="B236" s="4">
        <f>Partidas!F236</f>
        <v>43278</v>
      </c>
      <c r="C236" s="1">
        <f>Partidas!A236</f>
        <v>2018</v>
      </c>
      <c r="D236" s="1" t="str">
        <f>Partidas!H236</f>
        <v>Serbia</v>
      </c>
      <c r="E236" s="1" t="str">
        <f>Partidas!I236</f>
        <v>Brazil</v>
      </c>
      <c r="F236" s="5">
        <f>Partidas!J236</f>
        <v>0</v>
      </c>
      <c r="G236" s="5">
        <f>Partidas!K236</f>
        <v>2</v>
      </c>
      <c r="H236" s="1" t="str">
        <f>Partidas!M236</f>
        <v>A</v>
      </c>
      <c r="I236" s="5">
        <f t="shared" si="54"/>
        <v>2</v>
      </c>
      <c r="J236" s="1" t="b">
        <f t="shared" si="55"/>
        <v>1</v>
      </c>
      <c r="K236" s="1" t="b">
        <f t="shared" si="56"/>
        <v>0</v>
      </c>
      <c r="L236" s="1" t="b">
        <f t="shared" si="57"/>
        <v>0</v>
      </c>
      <c r="M236" s="1" t="b">
        <f t="shared" si="58"/>
        <v>1</v>
      </c>
      <c r="N236" s="1" t="b">
        <f t="shared" si="59"/>
        <v>1</v>
      </c>
      <c r="O236" s="1" t="b">
        <f t="shared" si="60"/>
        <v>0</v>
      </c>
      <c r="P236" s="1" t="b">
        <f t="shared" si="61"/>
        <v>0</v>
      </c>
      <c r="Q236" s="1" t="b">
        <f t="shared" si="62"/>
        <v>1</v>
      </c>
      <c r="R236" s="1" t="b">
        <f t="shared" si="63"/>
        <v>1</v>
      </c>
      <c r="S236" s="5">
        <f>Partidas!T236</f>
        <v>5</v>
      </c>
      <c r="T236" s="5">
        <f>Partidas!U236</f>
        <v>9</v>
      </c>
      <c r="U236" s="5">
        <f t="shared" si="64"/>
        <v>14</v>
      </c>
      <c r="V236" s="5" t="b">
        <f t="shared" si="65"/>
        <v>1</v>
      </c>
      <c r="W236" s="5" t="b">
        <f t="shared" si="66"/>
        <v>1</v>
      </c>
      <c r="X236" s="5">
        <f>Partidas!X236</f>
        <v>3</v>
      </c>
      <c r="Y236" s="5">
        <f>Partidas!Y236</f>
        <v>0</v>
      </c>
      <c r="Z236" s="5">
        <f>Partidas!AG236</f>
        <v>0</v>
      </c>
      <c r="AA236" s="5">
        <f>Partidas!AH236</f>
        <v>0</v>
      </c>
      <c r="AB236" s="5">
        <f t="shared" si="67"/>
        <v>3</v>
      </c>
      <c r="AC236" s="1" t="b">
        <f t="shared" si="68"/>
        <v>0</v>
      </c>
      <c r="AD236" s="1" t="b">
        <f t="shared" si="69"/>
        <v>0</v>
      </c>
      <c r="AE236" s="1" t="b">
        <f t="shared" si="70"/>
        <v>0</v>
      </c>
      <c r="AF236" s="1" t="str">
        <f>Partidas!W236</f>
        <v>ok</v>
      </c>
      <c r="AG236" s="1" t="str">
        <f>Partidas!AK236</f>
        <v>ok</v>
      </c>
      <c r="AH236" s="1" t="str">
        <f t="shared" si="71"/>
        <v>Fjelstul World Cup Database + FootyStats CSV</v>
      </c>
      <c r="AI236" s="1">
        <f>Partidas!AX236</f>
        <v>0</v>
      </c>
    </row>
    <row r="237" spans="1:35" ht="15" customHeight="1">
      <c r="A237" s="1" t="str">
        <f>Partidas!C237</f>
        <v>M-2018-44</v>
      </c>
      <c r="B237" s="4">
        <f>Partidas!F237</f>
        <v>43278</v>
      </c>
      <c r="C237" s="1">
        <f>Partidas!A237</f>
        <v>2018</v>
      </c>
      <c r="D237" s="1" t="str">
        <f>Partidas!H237</f>
        <v>Switzerland</v>
      </c>
      <c r="E237" s="1" t="str">
        <f>Partidas!I237</f>
        <v>Costa Rica</v>
      </c>
      <c r="F237" s="5">
        <f>Partidas!J237</f>
        <v>2</v>
      </c>
      <c r="G237" s="5">
        <f>Partidas!K237</f>
        <v>2</v>
      </c>
      <c r="H237" s="1" t="str">
        <f>Partidas!M237</f>
        <v>D</v>
      </c>
      <c r="I237" s="5">
        <f t="shared" si="54"/>
        <v>4</v>
      </c>
      <c r="J237" s="1" t="b">
        <f t="shared" si="55"/>
        <v>1</v>
      </c>
      <c r="K237" s="1" t="b">
        <f t="shared" si="56"/>
        <v>1</v>
      </c>
      <c r="L237" s="1" t="b">
        <f t="shared" si="57"/>
        <v>1</v>
      </c>
      <c r="M237" s="1" t="b">
        <f t="shared" si="58"/>
        <v>0</v>
      </c>
      <c r="N237" s="1" t="b">
        <f t="shared" si="59"/>
        <v>0</v>
      </c>
      <c r="O237" s="1" t="b">
        <f t="shared" si="60"/>
        <v>1</v>
      </c>
      <c r="P237" s="1" t="b">
        <f t="shared" si="61"/>
        <v>1</v>
      </c>
      <c r="Q237" s="1" t="b">
        <f t="shared" si="62"/>
        <v>0</v>
      </c>
      <c r="R237" s="1" t="b">
        <f t="shared" si="63"/>
        <v>1</v>
      </c>
      <c r="S237" s="5">
        <f>Partidas!T237</f>
        <v>6</v>
      </c>
      <c r="T237" s="5">
        <f>Partidas!U237</f>
        <v>5</v>
      </c>
      <c r="U237" s="5">
        <f t="shared" si="64"/>
        <v>11</v>
      </c>
      <c r="V237" s="5" t="b">
        <f t="shared" si="65"/>
        <v>1</v>
      </c>
      <c r="W237" s="5" t="b">
        <f t="shared" si="66"/>
        <v>1</v>
      </c>
      <c r="X237" s="5">
        <f>Partidas!X237</f>
        <v>3</v>
      </c>
      <c r="Y237" s="5">
        <f>Partidas!Y237</f>
        <v>3</v>
      </c>
      <c r="Z237" s="5">
        <f>Partidas!AG237</f>
        <v>0</v>
      </c>
      <c r="AA237" s="5">
        <f>Partidas!AH237</f>
        <v>0</v>
      </c>
      <c r="AB237" s="5">
        <f t="shared" si="67"/>
        <v>6</v>
      </c>
      <c r="AC237" s="1" t="b">
        <f t="shared" si="68"/>
        <v>1</v>
      </c>
      <c r="AD237" s="1" t="b">
        <f t="shared" si="69"/>
        <v>1</v>
      </c>
      <c r="AE237" s="1" t="b">
        <f t="shared" si="70"/>
        <v>1</v>
      </c>
      <c r="AF237" s="1" t="str">
        <f>Partidas!W237</f>
        <v>ok</v>
      </c>
      <c r="AG237" s="1" t="str">
        <f>Partidas!AK237</f>
        <v>ok</v>
      </c>
      <c r="AH237" s="1" t="str">
        <f t="shared" si="71"/>
        <v>Fjelstul World Cup Database + FootyStats CSV</v>
      </c>
      <c r="AI237" s="1">
        <f>Partidas!AX237</f>
        <v>0</v>
      </c>
    </row>
    <row r="238" spans="1:35" ht="15" customHeight="1">
      <c r="A238" s="1" t="str">
        <f>Partidas!C238</f>
        <v>M-2018-45</v>
      </c>
      <c r="B238" s="4">
        <f>Partidas!F238</f>
        <v>43279</v>
      </c>
      <c r="C238" s="1">
        <f>Partidas!A238</f>
        <v>2018</v>
      </c>
      <c r="D238" s="1" t="str">
        <f>Partidas!H238</f>
        <v>Japan</v>
      </c>
      <c r="E238" s="1" t="str">
        <f>Partidas!I238</f>
        <v>Poland</v>
      </c>
      <c r="F238" s="5">
        <f>Partidas!J238</f>
        <v>0</v>
      </c>
      <c r="G238" s="5">
        <f>Partidas!K238</f>
        <v>1</v>
      </c>
      <c r="H238" s="1" t="str">
        <f>Partidas!M238</f>
        <v>A</v>
      </c>
      <c r="I238" s="5">
        <f t="shared" si="54"/>
        <v>1</v>
      </c>
      <c r="J238" s="1" t="b">
        <f t="shared" si="55"/>
        <v>0</v>
      </c>
      <c r="K238" s="1" t="b">
        <f t="shared" si="56"/>
        <v>0</v>
      </c>
      <c r="L238" s="1" t="b">
        <f t="shared" si="57"/>
        <v>0</v>
      </c>
      <c r="M238" s="1" t="b">
        <f t="shared" si="58"/>
        <v>1</v>
      </c>
      <c r="N238" s="1" t="b">
        <f t="shared" si="59"/>
        <v>1</v>
      </c>
      <c r="O238" s="1" t="b">
        <f t="shared" si="60"/>
        <v>0</v>
      </c>
      <c r="P238" s="1" t="b">
        <f t="shared" si="61"/>
        <v>0</v>
      </c>
      <c r="Q238" s="1" t="b">
        <f t="shared" si="62"/>
        <v>1</v>
      </c>
      <c r="R238" s="1" t="b">
        <f t="shared" si="63"/>
        <v>1</v>
      </c>
      <c r="S238" s="5">
        <f>Partidas!T238</f>
        <v>5</v>
      </c>
      <c r="T238" s="5">
        <f>Partidas!U238</f>
        <v>7</v>
      </c>
      <c r="U238" s="5">
        <f t="shared" si="64"/>
        <v>12</v>
      </c>
      <c r="V238" s="5" t="b">
        <f t="shared" si="65"/>
        <v>1</v>
      </c>
      <c r="W238" s="5" t="b">
        <f t="shared" si="66"/>
        <v>1</v>
      </c>
      <c r="X238" s="5">
        <f>Partidas!X238</f>
        <v>1</v>
      </c>
      <c r="Y238" s="5">
        <f>Partidas!Y238</f>
        <v>0</v>
      </c>
      <c r="Z238" s="5">
        <f>Partidas!AG238</f>
        <v>0</v>
      </c>
      <c r="AA238" s="5">
        <f>Partidas!AH238</f>
        <v>0</v>
      </c>
      <c r="AB238" s="5">
        <f t="shared" si="67"/>
        <v>1</v>
      </c>
      <c r="AC238" s="1" t="b">
        <f t="shared" si="68"/>
        <v>0</v>
      </c>
      <c r="AD238" s="1" t="b">
        <f t="shared" si="69"/>
        <v>0</v>
      </c>
      <c r="AE238" s="1" t="b">
        <f t="shared" si="70"/>
        <v>0</v>
      </c>
      <c r="AF238" s="1" t="str">
        <f>Partidas!W238</f>
        <v>ok</v>
      </c>
      <c r="AG238" s="1" t="str">
        <f>Partidas!AK238</f>
        <v>ok</v>
      </c>
      <c r="AH238" s="1" t="str">
        <f t="shared" si="71"/>
        <v>Fjelstul World Cup Database + FootyStats CSV</v>
      </c>
      <c r="AI238" s="1">
        <f>Partidas!AX238</f>
        <v>0</v>
      </c>
    </row>
    <row r="239" spans="1:35" ht="15" customHeight="1">
      <c r="A239" s="1" t="str">
        <f>Partidas!C239</f>
        <v>M-2018-46</v>
      </c>
      <c r="B239" s="4">
        <f>Partidas!F239</f>
        <v>43279</v>
      </c>
      <c r="C239" s="1">
        <f>Partidas!A239</f>
        <v>2018</v>
      </c>
      <c r="D239" s="1" t="str">
        <f>Partidas!H239</f>
        <v>Senegal</v>
      </c>
      <c r="E239" s="1" t="str">
        <f>Partidas!I239</f>
        <v>Colombia</v>
      </c>
      <c r="F239" s="5">
        <f>Partidas!J239</f>
        <v>0</v>
      </c>
      <c r="G239" s="5">
        <f>Partidas!K239</f>
        <v>1</v>
      </c>
      <c r="H239" s="1" t="str">
        <f>Partidas!M239</f>
        <v>A</v>
      </c>
      <c r="I239" s="5">
        <f t="shared" si="54"/>
        <v>1</v>
      </c>
      <c r="J239" s="1" t="b">
        <f t="shared" si="55"/>
        <v>0</v>
      </c>
      <c r="K239" s="1" t="b">
        <f t="shared" si="56"/>
        <v>0</v>
      </c>
      <c r="L239" s="1" t="b">
        <f t="shared" si="57"/>
        <v>0</v>
      </c>
      <c r="M239" s="1" t="b">
        <f t="shared" si="58"/>
        <v>1</v>
      </c>
      <c r="N239" s="1" t="b">
        <f t="shared" si="59"/>
        <v>1</v>
      </c>
      <c r="O239" s="1" t="b">
        <f t="shared" si="60"/>
        <v>0</v>
      </c>
      <c r="P239" s="1" t="b">
        <f t="shared" si="61"/>
        <v>0</v>
      </c>
      <c r="Q239" s="1" t="b">
        <f t="shared" si="62"/>
        <v>1</v>
      </c>
      <c r="R239" s="1" t="b">
        <f t="shared" si="63"/>
        <v>1</v>
      </c>
      <c r="S239" s="5">
        <f>Partidas!T239</f>
        <v>1</v>
      </c>
      <c r="T239" s="5">
        <f>Partidas!U239</f>
        <v>3</v>
      </c>
      <c r="U239" s="5">
        <f t="shared" si="64"/>
        <v>4</v>
      </c>
      <c r="V239" s="5" t="b">
        <f t="shared" si="65"/>
        <v>0</v>
      </c>
      <c r="W239" s="5" t="b">
        <f t="shared" si="66"/>
        <v>0</v>
      </c>
      <c r="X239" s="5">
        <f>Partidas!X239</f>
        <v>1</v>
      </c>
      <c r="Y239" s="5">
        <f>Partidas!Y239</f>
        <v>1</v>
      </c>
      <c r="Z239" s="5">
        <f>Partidas!AG239</f>
        <v>0</v>
      </c>
      <c r="AA239" s="5">
        <f>Partidas!AH239</f>
        <v>0</v>
      </c>
      <c r="AB239" s="5">
        <f t="shared" si="67"/>
        <v>2</v>
      </c>
      <c r="AC239" s="1" t="b">
        <f t="shared" si="68"/>
        <v>0</v>
      </c>
      <c r="AD239" s="1" t="b">
        <f t="shared" si="69"/>
        <v>0</v>
      </c>
      <c r="AE239" s="1" t="b">
        <f t="shared" si="70"/>
        <v>0</v>
      </c>
      <c r="AF239" s="1" t="str">
        <f>Partidas!W239</f>
        <v>ok</v>
      </c>
      <c r="AG239" s="1" t="str">
        <f>Partidas!AK239</f>
        <v>ok</v>
      </c>
      <c r="AH239" s="1" t="str">
        <f t="shared" si="71"/>
        <v>Fjelstul World Cup Database + FootyStats CSV</v>
      </c>
      <c r="AI239" s="1">
        <f>Partidas!AX239</f>
        <v>0</v>
      </c>
    </row>
    <row r="240" spans="1:35" ht="15" customHeight="1">
      <c r="A240" s="1" t="str">
        <f>Partidas!C240</f>
        <v>M-2018-47</v>
      </c>
      <c r="B240" s="4">
        <f>Partidas!F240</f>
        <v>43279</v>
      </c>
      <c r="C240" s="1">
        <f>Partidas!A240</f>
        <v>2018</v>
      </c>
      <c r="D240" s="1" t="str">
        <f>Partidas!H240</f>
        <v>England</v>
      </c>
      <c r="E240" s="1" t="str">
        <f>Partidas!I240</f>
        <v>Belgium</v>
      </c>
      <c r="F240" s="5">
        <f>Partidas!J240</f>
        <v>0</v>
      </c>
      <c r="G240" s="5">
        <f>Partidas!K240</f>
        <v>1</v>
      </c>
      <c r="H240" s="1" t="str">
        <f>Partidas!M240</f>
        <v>A</v>
      </c>
      <c r="I240" s="5">
        <f t="shared" si="54"/>
        <v>1</v>
      </c>
      <c r="J240" s="1" t="b">
        <f t="shared" si="55"/>
        <v>0</v>
      </c>
      <c r="K240" s="1" t="b">
        <f t="shared" si="56"/>
        <v>0</v>
      </c>
      <c r="L240" s="1" t="b">
        <f t="shared" si="57"/>
        <v>0</v>
      </c>
      <c r="M240" s="1" t="b">
        <f t="shared" si="58"/>
        <v>1</v>
      </c>
      <c r="N240" s="1" t="b">
        <f t="shared" si="59"/>
        <v>1</v>
      </c>
      <c r="O240" s="1" t="b">
        <f t="shared" si="60"/>
        <v>0</v>
      </c>
      <c r="P240" s="1" t="b">
        <f t="shared" si="61"/>
        <v>0</v>
      </c>
      <c r="Q240" s="1" t="b">
        <f t="shared" si="62"/>
        <v>1</v>
      </c>
      <c r="R240" s="1" t="b">
        <f t="shared" si="63"/>
        <v>1</v>
      </c>
      <c r="S240" s="5">
        <f>Partidas!T240</f>
        <v>7</v>
      </c>
      <c r="T240" s="5">
        <f>Partidas!U240</f>
        <v>2</v>
      </c>
      <c r="U240" s="5">
        <f t="shared" si="64"/>
        <v>9</v>
      </c>
      <c r="V240" s="5" t="b">
        <f t="shared" si="65"/>
        <v>1</v>
      </c>
      <c r="W240" s="5" t="b">
        <f t="shared" si="66"/>
        <v>0</v>
      </c>
      <c r="X240" s="5">
        <f>Partidas!X240</f>
        <v>0</v>
      </c>
      <c r="Y240" s="5">
        <f>Partidas!Y240</f>
        <v>2</v>
      </c>
      <c r="Z240" s="5">
        <f>Partidas!AG240</f>
        <v>0</v>
      </c>
      <c r="AA240" s="5">
        <f>Partidas!AH240</f>
        <v>0</v>
      </c>
      <c r="AB240" s="5">
        <f t="shared" si="67"/>
        <v>2</v>
      </c>
      <c r="AC240" s="1" t="b">
        <f t="shared" si="68"/>
        <v>0</v>
      </c>
      <c r="AD240" s="1" t="b">
        <f t="shared" si="69"/>
        <v>0</v>
      </c>
      <c r="AE240" s="1" t="b">
        <f t="shared" si="70"/>
        <v>0</v>
      </c>
      <c r="AF240" s="1" t="str">
        <f>Partidas!W240</f>
        <v>ok</v>
      </c>
      <c r="AG240" s="1" t="str">
        <f>Partidas!AK240</f>
        <v>ok</v>
      </c>
      <c r="AH240" s="1" t="str">
        <f t="shared" si="71"/>
        <v>Fjelstul World Cup Database + FootyStats CSV</v>
      </c>
      <c r="AI240" s="1">
        <f>Partidas!AX240</f>
        <v>0</v>
      </c>
    </row>
    <row r="241" spans="1:35" ht="15" customHeight="1">
      <c r="A241" s="1" t="str">
        <f>Partidas!C241</f>
        <v>M-2018-48</v>
      </c>
      <c r="B241" s="4">
        <f>Partidas!F241</f>
        <v>43279</v>
      </c>
      <c r="C241" s="1">
        <f>Partidas!A241</f>
        <v>2018</v>
      </c>
      <c r="D241" s="1" t="str">
        <f>Partidas!H241</f>
        <v>Panama</v>
      </c>
      <c r="E241" s="1" t="str">
        <f>Partidas!I241</f>
        <v>Tunisia</v>
      </c>
      <c r="F241" s="5">
        <f>Partidas!J241</f>
        <v>1</v>
      </c>
      <c r="G241" s="5">
        <f>Partidas!K241</f>
        <v>2</v>
      </c>
      <c r="H241" s="1" t="str">
        <f>Partidas!M241</f>
        <v>A</v>
      </c>
      <c r="I241" s="5">
        <f t="shared" si="54"/>
        <v>3</v>
      </c>
      <c r="J241" s="1" t="b">
        <f t="shared" si="55"/>
        <v>1</v>
      </c>
      <c r="K241" s="1" t="b">
        <f t="shared" si="56"/>
        <v>1</v>
      </c>
      <c r="L241" s="1" t="b">
        <f t="shared" si="57"/>
        <v>0</v>
      </c>
      <c r="M241" s="1" t="b">
        <f t="shared" si="58"/>
        <v>0</v>
      </c>
      <c r="N241" s="1" t="b">
        <f t="shared" si="59"/>
        <v>1</v>
      </c>
      <c r="O241" s="1" t="b">
        <f t="shared" si="60"/>
        <v>1</v>
      </c>
      <c r="P241" s="1" t="b">
        <f t="shared" si="61"/>
        <v>0</v>
      </c>
      <c r="Q241" s="1" t="b">
        <f t="shared" si="62"/>
        <v>1</v>
      </c>
      <c r="R241" s="1" t="b">
        <f t="shared" si="63"/>
        <v>1</v>
      </c>
      <c r="S241" s="5">
        <f>Partidas!T241</f>
        <v>0</v>
      </c>
      <c r="T241" s="5">
        <f>Partidas!U241</f>
        <v>6</v>
      </c>
      <c r="U241" s="5">
        <f t="shared" si="64"/>
        <v>6</v>
      </c>
      <c r="V241" s="5" t="b">
        <f t="shared" si="65"/>
        <v>0</v>
      </c>
      <c r="W241" s="5" t="b">
        <f t="shared" si="66"/>
        <v>0</v>
      </c>
      <c r="X241" s="5">
        <f>Partidas!X241</f>
        <v>3</v>
      </c>
      <c r="Y241" s="5">
        <f>Partidas!Y241</f>
        <v>3</v>
      </c>
      <c r="Z241" s="5">
        <f>Partidas!AG241</f>
        <v>0</v>
      </c>
      <c r="AA241" s="5">
        <f>Partidas!AH241</f>
        <v>0</v>
      </c>
      <c r="AB241" s="5">
        <f t="shared" si="67"/>
        <v>6</v>
      </c>
      <c r="AC241" s="1" t="b">
        <f t="shared" si="68"/>
        <v>1</v>
      </c>
      <c r="AD241" s="1" t="b">
        <f t="shared" si="69"/>
        <v>1</v>
      </c>
      <c r="AE241" s="1" t="b">
        <f t="shared" si="70"/>
        <v>1</v>
      </c>
      <c r="AF241" s="1" t="str">
        <f>Partidas!W241</f>
        <v>ok</v>
      </c>
      <c r="AG241" s="1" t="str">
        <f>Partidas!AK241</f>
        <v>ok</v>
      </c>
      <c r="AH241" s="1" t="str">
        <f t="shared" si="71"/>
        <v>Fjelstul World Cup Database + FootyStats CSV</v>
      </c>
      <c r="AI241" s="1">
        <f>Partidas!AX241</f>
        <v>0</v>
      </c>
    </row>
    <row r="242" spans="1:35" ht="15" customHeight="1">
      <c r="A242" s="1" t="str">
        <f>Partidas!C242</f>
        <v>M-2018-49</v>
      </c>
      <c r="B242" s="4">
        <f>Partidas!F242</f>
        <v>43281</v>
      </c>
      <c r="C242" s="1">
        <f>Partidas!A242</f>
        <v>2018</v>
      </c>
      <c r="D242" s="1" t="str">
        <f>Partidas!H242</f>
        <v>France</v>
      </c>
      <c r="E242" s="1" t="str">
        <f>Partidas!I242</f>
        <v>Argentina</v>
      </c>
      <c r="F242" s="5">
        <f>Partidas!J242</f>
        <v>4</v>
      </c>
      <c r="G242" s="5">
        <f>Partidas!K242</f>
        <v>3</v>
      </c>
      <c r="H242" s="1" t="str">
        <f>Partidas!M242</f>
        <v>H</v>
      </c>
      <c r="I242" s="5">
        <f t="shared" si="54"/>
        <v>7</v>
      </c>
      <c r="J242" s="1" t="b">
        <f t="shared" si="55"/>
        <v>1</v>
      </c>
      <c r="K242" s="1" t="b">
        <f t="shared" si="56"/>
        <v>1</v>
      </c>
      <c r="L242" s="1" t="b">
        <f t="shared" si="57"/>
        <v>1</v>
      </c>
      <c r="M242" s="1" t="b">
        <f t="shared" si="58"/>
        <v>0</v>
      </c>
      <c r="N242" s="1" t="b">
        <f t="shared" si="59"/>
        <v>0</v>
      </c>
      <c r="O242" s="1" t="b">
        <f t="shared" si="60"/>
        <v>1</v>
      </c>
      <c r="P242" s="1" t="b">
        <f t="shared" si="61"/>
        <v>1</v>
      </c>
      <c r="Q242" s="1" t="b">
        <f t="shared" si="62"/>
        <v>1</v>
      </c>
      <c r="R242" s="1" t="b">
        <f t="shared" si="63"/>
        <v>0</v>
      </c>
      <c r="S242" s="5">
        <f>Partidas!T242</f>
        <v>0</v>
      </c>
      <c r="T242" s="5">
        <f>Partidas!U242</f>
        <v>4</v>
      </c>
      <c r="U242" s="5">
        <f t="shared" si="64"/>
        <v>4</v>
      </c>
      <c r="V242" s="5" t="b">
        <f t="shared" si="65"/>
        <v>0</v>
      </c>
      <c r="W242" s="5" t="b">
        <f t="shared" si="66"/>
        <v>0</v>
      </c>
      <c r="X242" s="5">
        <f>Partidas!X242</f>
        <v>3</v>
      </c>
      <c r="Y242" s="5">
        <f>Partidas!Y242</f>
        <v>5</v>
      </c>
      <c r="Z242" s="5">
        <f>Partidas!AG242</f>
        <v>0</v>
      </c>
      <c r="AA242" s="5">
        <f>Partidas!AH242</f>
        <v>0</v>
      </c>
      <c r="AB242" s="5">
        <f t="shared" si="67"/>
        <v>8</v>
      </c>
      <c r="AC242" s="1" t="b">
        <f t="shared" si="68"/>
        <v>1</v>
      </c>
      <c r="AD242" s="1" t="b">
        <f t="shared" si="69"/>
        <v>1</v>
      </c>
      <c r="AE242" s="1" t="b">
        <f t="shared" si="70"/>
        <v>1</v>
      </c>
      <c r="AF242" s="1" t="str">
        <f>Partidas!W242</f>
        <v>ok</v>
      </c>
      <c r="AG242" s="1" t="str">
        <f>Partidas!AK242</f>
        <v>ok</v>
      </c>
      <c r="AH242" s="1" t="str">
        <f t="shared" si="71"/>
        <v>Fjelstul World Cup Database + FootyStats CSV</v>
      </c>
      <c r="AI242" s="1">
        <f>Partidas!AX242</f>
        <v>0</v>
      </c>
    </row>
    <row r="243" spans="1:35" ht="15" customHeight="1">
      <c r="A243" s="1" t="str">
        <f>Partidas!C243</f>
        <v>M-2018-50</v>
      </c>
      <c r="B243" s="4">
        <f>Partidas!F243</f>
        <v>43281</v>
      </c>
      <c r="C243" s="1">
        <f>Partidas!A243</f>
        <v>2018</v>
      </c>
      <c r="D243" s="1" t="str">
        <f>Partidas!H243</f>
        <v>Uruguay</v>
      </c>
      <c r="E243" s="1" t="str">
        <f>Partidas!I243</f>
        <v>Portugal</v>
      </c>
      <c r="F243" s="5">
        <f>Partidas!J243</f>
        <v>2</v>
      </c>
      <c r="G243" s="5">
        <f>Partidas!K243</f>
        <v>1</v>
      </c>
      <c r="H243" s="1" t="str">
        <f>Partidas!M243</f>
        <v>H</v>
      </c>
      <c r="I243" s="5">
        <f t="shared" si="54"/>
        <v>3</v>
      </c>
      <c r="J243" s="1" t="b">
        <f t="shared" si="55"/>
        <v>1</v>
      </c>
      <c r="K243" s="1" t="b">
        <f t="shared" si="56"/>
        <v>1</v>
      </c>
      <c r="L243" s="1" t="b">
        <f t="shared" si="57"/>
        <v>0</v>
      </c>
      <c r="M243" s="1" t="b">
        <f t="shared" si="58"/>
        <v>0</v>
      </c>
      <c r="N243" s="1" t="b">
        <f t="shared" si="59"/>
        <v>1</v>
      </c>
      <c r="O243" s="1" t="b">
        <f t="shared" si="60"/>
        <v>1</v>
      </c>
      <c r="P243" s="1" t="b">
        <f t="shared" si="61"/>
        <v>1</v>
      </c>
      <c r="Q243" s="1" t="b">
        <f t="shared" si="62"/>
        <v>1</v>
      </c>
      <c r="R243" s="1" t="b">
        <f t="shared" si="63"/>
        <v>0</v>
      </c>
      <c r="S243" s="5">
        <f>Partidas!T243</f>
        <v>2</v>
      </c>
      <c r="T243" s="5">
        <f>Partidas!U243</f>
        <v>10</v>
      </c>
      <c r="U243" s="5">
        <f t="shared" si="64"/>
        <v>12</v>
      </c>
      <c r="V243" s="5" t="b">
        <f t="shared" si="65"/>
        <v>1</v>
      </c>
      <c r="W243" s="5" t="b">
        <f t="shared" si="66"/>
        <v>1</v>
      </c>
      <c r="X243" s="5">
        <f>Partidas!X243</f>
        <v>0</v>
      </c>
      <c r="Y243" s="5">
        <f>Partidas!Y243</f>
        <v>1</v>
      </c>
      <c r="Z243" s="5">
        <f>Partidas!AG243</f>
        <v>0</v>
      </c>
      <c r="AA243" s="5">
        <f>Partidas!AH243</f>
        <v>0</v>
      </c>
      <c r="AB243" s="5">
        <f t="shared" si="67"/>
        <v>1</v>
      </c>
      <c r="AC243" s="1" t="b">
        <f t="shared" si="68"/>
        <v>0</v>
      </c>
      <c r="AD243" s="1" t="b">
        <f t="shared" si="69"/>
        <v>0</v>
      </c>
      <c r="AE243" s="1" t="b">
        <f t="shared" si="70"/>
        <v>0</v>
      </c>
      <c r="AF243" s="1" t="str">
        <f>Partidas!W243</f>
        <v>ok</v>
      </c>
      <c r="AG243" s="1" t="str">
        <f>Partidas!AK243</f>
        <v>ok</v>
      </c>
      <c r="AH243" s="1" t="str">
        <f t="shared" si="71"/>
        <v>Fjelstul World Cup Database + FootyStats CSV</v>
      </c>
      <c r="AI243" s="1">
        <f>Partidas!AX243</f>
        <v>0</v>
      </c>
    </row>
    <row r="244" spans="1:35" ht="15" customHeight="1">
      <c r="A244" s="1" t="str">
        <f>Partidas!C244</f>
        <v>M-2018-51</v>
      </c>
      <c r="B244" s="4">
        <f>Partidas!F244</f>
        <v>43282</v>
      </c>
      <c r="C244" s="1">
        <f>Partidas!A244</f>
        <v>2018</v>
      </c>
      <c r="D244" s="1" t="str">
        <f>Partidas!H244</f>
        <v>Spain</v>
      </c>
      <c r="E244" s="1" t="str">
        <f>Partidas!I244</f>
        <v>Russia</v>
      </c>
      <c r="F244" s="5">
        <f>Partidas!J244</f>
        <v>1</v>
      </c>
      <c r="G244" s="5">
        <f>Partidas!K244</f>
        <v>1</v>
      </c>
      <c r="H244" s="1" t="str">
        <f>Partidas!M244</f>
        <v>D</v>
      </c>
      <c r="I244" s="5">
        <f t="shared" si="54"/>
        <v>2</v>
      </c>
      <c r="J244" s="1" t="b">
        <f t="shared" si="55"/>
        <v>1</v>
      </c>
      <c r="K244" s="1" t="b">
        <f t="shared" si="56"/>
        <v>0</v>
      </c>
      <c r="L244" s="1" t="b">
        <f t="shared" si="57"/>
        <v>0</v>
      </c>
      <c r="M244" s="1" t="b">
        <f t="shared" si="58"/>
        <v>1</v>
      </c>
      <c r="N244" s="1" t="b">
        <f t="shared" si="59"/>
        <v>1</v>
      </c>
      <c r="O244" s="1" t="b">
        <f t="shared" si="60"/>
        <v>1</v>
      </c>
      <c r="P244" s="1" t="b">
        <f t="shared" si="61"/>
        <v>1</v>
      </c>
      <c r="Q244" s="1" t="b">
        <f t="shared" si="62"/>
        <v>0</v>
      </c>
      <c r="R244" s="1" t="b">
        <f t="shared" si="63"/>
        <v>1</v>
      </c>
      <c r="S244" s="5">
        <f>Partidas!T244</f>
        <v>6</v>
      </c>
      <c r="T244" s="5">
        <f>Partidas!U244</f>
        <v>5</v>
      </c>
      <c r="U244" s="5">
        <f t="shared" si="64"/>
        <v>11</v>
      </c>
      <c r="V244" s="5" t="b">
        <f t="shared" si="65"/>
        <v>1</v>
      </c>
      <c r="W244" s="5" t="b">
        <f t="shared" si="66"/>
        <v>1</v>
      </c>
      <c r="X244" s="5">
        <f>Partidas!X244</f>
        <v>1</v>
      </c>
      <c r="Y244" s="5">
        <f>Partidas!Y244</f>
        <v>2</v>
      </c>
      <c r="Z244" s="5">
        <f>Partidas!AG244</f>
        <v>0</v>
      </c>
      <c r="AA244" s="5">
        <f>Partidas!AH244</f>
        <v>0</v>
      </c>
      <c r="AB244" s="5">
        <f t="shared" si="67"/>
        <v>3</v>
      </c>
      <c r="AC244" s="1" t="b">
        <f t="shared" si="68"/>
        <v>0</v>
      </c>
      <c r="AD244" s="1" t="b">
        <f t="shared" si="69"/>
        <v>0</v>
      </c>
      <c r="AE244" s="1" t="b">
        <f t="shared" si="70"/>
        <v>0</v>
      </c>
      <c r="AF244" s="1" t="str">
        <f>Partidas!W244</f>
        <v>ok</v>
      </c>
      <c r="AG244" s="1" t="str">
        <f>Partidas!AK244</f>
        <v>ok</v>
      </c>
      <c r="AH244" s="1" t="str">
        <f t="shared" si="71"/>
        <v>Fjelstul World Cup Database + FootyStats CSV</v>
      </c>
      <c r="AI244" s="1">
        <f>Partidas!AX244</f>
        <v>0</v>
      </c>
    </row>
    <row r="245" spans="1:35" ht="15" customHeight="1">
      <c r="A245" s="1" t="str">
        <f>Partidas!C245</f>
        <v>M-2018-52</v>
      </c>
      <c r="B245" s="4">
        <f>Partidas!F245</f>
        <v>43282</v>
      </c>
      <c r="C245" s="1">
        <f>Partidas!A245</f>
        <v>2018</v>
      </c>
      <c r="D245" s="1" t="str">
        <f>Partidas!H245</f>
        <v>Croatia</v>
      </c>
      <c r="E245" s="1" t="str">
        <f>Partidas!I245</f>
        <v>Denmark</v>
      </c>
      <c r="F245" s="5">
        <f>Partidas!J245</f>
        <v>1</v>
      </c>
      <c r="G245" s="5">
        <f>Partidas!K245</f>
        <v>1</v>
      </c>
      <c r="H245" s="1" t="str">
        <f>Partidas!M245</f>
        <v>D</v>
      </c>
      <c r="I245" s="5">
        <f t="shared" si="54"/>
        <v>2</v>
      </c>
      <c r="J245" s="1" t="b">
        <f t="shared" si="55"/>
        <v>1</v>
      </c>
      <c r="K245" s="1" t="b">
        <f t="shared" si="56"/>
        <v>0</v>
      </c>
      <c r="L245" s="1" t="b">
        <f t="shared" si="57"/>
        <v>0</v>
      </c>
      <c r="M245" s="1" t="b">
        <f t="shared" si="58"/>
        <v>1</v>
      </c>
      <c r="N245" s="1" t="b">
        <f t="shared" si="59"/>
        <v>1</v>
      </c>
      <c r="O245" s="1" t="b">
        <f t="shared" si="60"/>
        <v>1</v>
      </c>
      <c r="P245" s="1" t="b">
        <f t="shared" si="61"/>
        <v>1</v>
      </c>
      <c r="Q245" s="1" t="b">
        <f t="shared" si="62"/>
        <v>0</v>
      </c>
      <c r="R245" s="1" t="b">
        <f t="shared" si="63"/>
        <v>1</v>
      </c>
      <c r="S245" s="5">
        <f>Partidas!T245</f>
        <v>5</v>
      </c>
      <c r="T245" s="5">
        <f>Partidas!U245</f>
        <v>4</v>
      </c>
      <c r="U245" s="5">
        <f t="shared" si="64"/>
        <v>9</v>
      </c>
      <c r="V245" s="5" t="b">
        <f t="shared" si="65"/>
        <v>1</v>
      </c>
      <c r="W245" s="5" t="b">
        <f t="shared" si="66"/>
        <v>0</v>
      </c>
      <c r="X245" s="5">
        <f>Partidas!X245</f>
        <v>0</v>
      </c>
      <c r="Y245" s="5">
        <f>Partidas!Y245</f>
        <v>1</v>
      </c>
      <c r="Z245" s="5">
        <f>Partidas!AG245</f>
        <v>0</v>
      </c>
      <c r="AA245" s="5">
        <f>Partidas!AH245</f>
        <v>0</v>
      </c>
      <c r="AB245" s="5">
        <f t="shared" si="67"/>
        <v>1</v>
      </c>
      <c r="AC245" s="1" t="b">
        <f t="shared" si="68"/>
        <v>0</v>
      </c>
      <c r="AD245" s="1" t="b">
        <f t="shared" si="69"/>
        <v>0</v>
      </c>
      <c r="AE245" s="1" t="b">
        <f t="shared" si="70"/>
        <v>0</v>
      </c>
      <c r="AF245" s="1" t="str">
        <f>Partidas!W245</f>
        <v>ok</v>
      </c>
      <c r="AG245" s="1" t="str">
        <f>Partidas!AK245</f>
        <v>ok</v>
      </c>
      <c r="AH245" s="1" t="str">
        <f t="shared" si="71"/>
        <v>Fjelstul World Cup Database + FootyStats CSV</v>
      </c>
      <c r="AI245" s="1">
        <f>Partidas!AX245</f>
        <v>0</v>
      </c>
    </row>
    <row r="246" spans="1:35" ht="15" customHeight="1">
      <c r="A246" s="1" t="str">
        <f>Partidas!C246</f>
        <v>M-2018-53</v>
      </c>
      <c r="B246" s="4">
        <f>Partidas!F246</f>
        <v>43283</v>
      </c>
      <c r="C246" s="1">
        <f>Partidas!A246</f>
        <v>2018</v>
      </c>
      <c r="D246" s="1" t="str">
        <f>Partidas!H246</f>
        <v>Brazil</v>
      </c>
      <c r="E246" s="1" t="str">
        <f>Partidas!I246</f>
        <v>Mexico</v>
      </c>
      <c r="F246" s="5">
        <f>Partidas!J246</f>
        <v>2</v>
      </c>
      <c r="G246" s="5">
        <f>Partidas!K246</f>
        <v>0</v>
      </c>
      <c r="H246" s="1" t="str">
        <f>Partidas!M246</f>
        <v>H</v>
      </c>
      <c r="I246" s="5">
        <f t="shared" si="54"/>
        <v>2</v>
      </c>
      <c r="J246" s="1" t="b">
        <f t="shared" si="55"/>
        <v>1</v>
      </c>
      <c r="K246" s="1" t="b">
        <f t="shared" si="56"/>
        <v>0</v>
      </c>
      <c r="L246" s="1" t="b">
        <f t="shared" si="57"/>
        <v>0</v>
      </c>
      <c r="M246" s="1" t="b">
        <f t="shared" si="58"/>
        <v>1</v>
      </c>
      <c r="N246" s="1" t="b">
        <f t="shared" si="59"/>
        <v>1</v>
      </c>
      <c r="O246" s="1" t="b">
        <f t="shared" si="60"/>
        <v>0</v>
      </c>
      <c r="P246" s="1" t="b">
        <f t="shared" si="61"/>
        <v>1</v>
      </c>
      <c r="Q246" s="1" t="b">
        <f t="shared" si="62"/>
        <v>1</v>
      </c>
      <c r="R246" s="1" t="b">
        <f t="shared" si="63"/>
        <v>0</v>
      </c>
      <c r="S246" s="5">
        <f>Partidas!T246</f>
        <v>8</v>
      </c>
      <c r="T246" s="5">
        <f>Partidas!U246</f>
        <v>7</v>
      </c>
      <c r="U246" s="5">
        <f t="shared" si="64"/>
        <v>15</v>
      </c>
      <c r="V246" s="5" t="b">
        <f t="shared" si="65"/>
        <v>1</v>
      </c>
      <c r="W246" s="5" t="b">
        <f t="shared" si="66"/>
        <v>1</v>
      </c>
      <c r="X246" s="5">
        <f>Partidas!X246</f>
        <v>2</v>
      </c>
      <c r="Y246" s="5">
        <f>Partidas!Y246</f>
        <v>4</v>
      </c>
      <c r="Z246" s="5">
        <f>Partidas!AG246</f>
        <v>0</v>
      </c>
      <c r="AA246" s="5">
        <f>Partidas!AH246</f>
        <v>0</v>
      </c>
      <c r="AB246" s="5">
        <f t="shared" si="67"/>
        <v>6</v>
      </c>
      <c r="AC246" s="1" t="b">
        <f t="shared" si="68"/>
        <v>1</v>
      </c>
      <c r="AD246" s="1" t="b">
        <f t="shared" si="69"/>
        <v>1</v>
      </c>
      <c r="AE246" s="1" t="b">
        <f t="shared" si="70"/>
        <v>1</v>
      </c>
      <c r="AF246" s="1" t="str">
        <f>Partidas!W246</f>
        <v>ok</v>
      </c>
      <c r="AG246" s="1" t="str">
        <f>Partidas!AK246</f>
        <v>ok</v>
      </c>
      <c r="AH246" s="1" t="str">
        <f t="shared" si="71"/>
        <v>Fjelstul World Cup Database + FootyStats CSV</v>
      </c>
      <c r="AI246" s="1">
        <f>Partidas!AX246</f>
        <v>0</v>
      </c>
    </row>
    <row r="247" spans="1:35" ht="15" customHeight="1">
      <c r="A247" s="1" t="str">
        <f>Partidas!C247</f>
        <v>M-2018-54</v>
      </c>
      <c r="B247" s="4">
        <f>Partidas!F247</f>
        <v>43283</v>
      </c>
      <c r="C247" s="1">
        <f>Partidas!A247</f>
        <v>2018</v>
      </c>
      <c r="D247" s="1" t="str">
        <f>Partidas!H247</f>
        <v>Belgium</v>
      </c>
      <c r="E247" s="1" t="str">
        <f>Partidas!I247</f>
        <v>Japan</v>
      </c>
      <c r="F247" s="5">
        <f>Partidas!J247</f>
        <v>3</v>
      </c>
      <c r="G247" s="5">
        <f>Partidas!K247</f>
        <v>2</v>
      </c>
      <c r="H247" s="1" t="str">
        <f>Partidas!M247</f>
        <v>H</v>
      </c>
      <c r="I247" s="5">
        <f t="shared" si="54"/>
        <v>5</v>
      </c>
      <c r="J247" s="1" t="b">
        <f t="shared" si="55"/>
        <v>1</v>
      </c>
      <c r="K247" s="1" t="b">
        <f t="shared" si="56"/>
        <v>1</v>
      </c>
      <c r="L247" s="1" t="b">
        <f t="shared" si="57"/>
        <v>1</v>
      </c>
      <c r="M247" s="1" t="b">
        <f t="shared" si="58"/>
        <v>0</v>
      </c>
      <c r="N247" s="1" t="b">
        <f t="shared" si="59"/>
        <v>0</v>
      </c>
      <c r="O247" s="1" t="b">
        <f t="shared" si="60"/>
        <v>1</v>
      </c>
      <c r="P247" s="1" t="b">
        <f t="shared" si="61"/>
        <v>1</v>
      </c>
      <c r="Q247" s="1" t="b">
        <f t="shared" si="62"/>
        <v>1</v>
      </c>
      <c r="R247" s="1" t="b">
        <f t="shared" si="63"/>
        <v>0</v>
      </c>
      <c r="S247" s="5">
        <f>Partidas!T247</f>
        <v>10</v>
      </c>
      <c r="T247" s="5">
        <f>Partidas!U247</f>
        <v>6</v>
      </c>
      <c r="U247" s="5">
        <f t="shared" si="64"/>
        <v>16</v>
      </c>
      <c r="V247" s="5" t="b">
        <f t="shared" si="65"/>
        <v>1</v>
      </c>
      <c r="W247" s="5" t="b">
        <f t="shared" si="66"/>
        <v>1</v>
      </c>
      <c r="X247" s="5">
        <f>Partidas!X247</f>
        <v>0</v>
      </c>
      <c r="Y247" s="5">
        <f>Partidas!Y247</f>
        <v>1</v>
      </c>
      <c r="Z247" s="5">
        <f>Partidas!AG247</f>
        <v>0</v>
      </c>
      <c r="AA247" s="5">
        <f>Partidas!AH247</f>
        <v>0</v>
      </c>
      <c r="AB247" s="5">
        <f t="shared" si="67"/>
        <v>1</v>
      </c>
      <c r="AC247" s="1" t="b">
        <f t="shared" si="68"/>
        <v>0</v>
      </c>
      <c r="AD247" s="1" t="b">
        <f t="shared" si="69"/>
        <v>0</v>
      </c>
      <c r="AE247" s="1" t="b">
        <f t="shared" si="70"/>
        <v>0</v>
      </c>
      <c r="AF247" s="1" t="str">
        <f>Partidas!W247</f>
        <v>ok</v>
      </c>
      <c r="AG247" s="1" t="str">
        <f>Partidas!AK247</f>
        <v>ok</v>
      </c>
      <c r="AH247" s="1" t="str">
        <f t="shared" si="71"/>
        <v>Fjelstul World Cup Database + FootyStats CSV</v>
      </c>
      <c r="AI247" s="1">
        <f>Partidas!AX247</f>
        <v>0</v>
      </c>
    </row>
    <row r="248" spans="1:35" ht="15" customHeight="1">
      <c r="A248" s="1" t="str">
        <f>Partidas!C248</f>
        <v>M-2018-55</v>
      </c>
      <c r="B248" s="4">
        <f>Partidas!F248</f>
        <v>43284</v>
      </c>
      <c r="C248" s="1">
        <f>Partidas!A248</f>
        <v>2018</v>
      </c>
      <c r="D248" s="1" t="str">
        <f>Partidas!H248</f>
        <v>Sweden</v>
      </c>
      <c r="E248" s="1" t="str">
        <f>Partidas!I248</f>
        <v>Switzerland</v>
      </c>
      <c r="F248" s="5">
        <f>Partidas!J248</f>
        <v>1</v>
      </c>
      <c r="G248" s="5">
        <f>Partidas!K248</f>
        <v>0</v>
      </c>
      <c r="H248" s="1" t="str">
        <f>Partidas!M248</f>
        <v>H</v>
      </c>
      <c r="I248" s="5">
        <f t="shared" si="54"/>
        <v>1</v>
      </c>
      <c r="J248" s="1" t="b">
        <f t="shared" si="55"/>
        <v>0</v>
      </c>
      <c r="K248" s="1" t="b">
        <f t="shared" si="56"/>
        <v>0</v>
      </c>
      <c r="L248" s="1" t="b">
        <f t="shared" si="57"/>
        <v>0</v>
      </c>
      <c r="M248" s="1" t="b">
        <f t="shared" si="58"/>
        <v>1</v>
      </c>
      <c r="N248" s="1" t="b">
        <f t="shared" si="59"/>
        <v>1</v>
      </c>
      <c r="O248" s="1" t="b">
        <f t="shared" si="60"/>
        <v>0</v>
      </c>
      <c r="P248" s="1" t="b">
        <f t="shared" si="61"/>
        <v>1</v>
      </c>
      <c r="Q248" s="1" t="b">
        <f t="shared" si="62"/>
        <v>1</v>
      </c>
      <c r="R248" s="1" t="b">
        <f t="shared" si="63"/>
        <v>0</v>
      </c>
      <c r="S248" s="5">
        <f>Partidas!T248</f>
        <v>3</v>
      </c>
      <c r="T248" s="5">
        <f>Partidas!U248</f>
        <v>11</v>
      </c>
      <c r="U248" s="5">
        <f t="shared" si="64"/>
        <v>14</v>
      </c>
      <c r="V248" s="5" t="b">
        <f t="shared" si="65"/>
        <v>1</v>
      </c>
      <c r="W248" s="5" t="b">
        <f t="shared" si="66"/>
        <v>1</v>
      </c>
      <c r="X248" s="5">
        <f>Partidas!X248</f>
        <v>1</v>
      </c>
      <c r="Y248" s="5">
        <f>Partidas!Y248</f>
        <v>2</v>
      </c>
      <c r="Z248" s="5">
        <f>Partidas!AG248</f>
        <v>0</v>
      </c>
      <c r="AA248" s="5">
        <f>Partidas!AH248</f>
        <v>1</v>
      </c>
      <c r="AB248" s="5">
        <f t="shared" si="67"/>
        <v>4</v>
      </c>
      <c r="AC248" s="1" t="b">
        <f t="shared" si="68"/>
        <v>1</v>
      </c>
      <c r="AD248" s="1" t="b">
        <f t="shared" si="69"/>
        <v>0</v>
      </c>
      <c r="AE248" s="1" t="b">
        <f t="shared" si="70"/>
        <v>0</v>
      </c>
      <c r="AF248" s="1" t="str">
        <f>Partidas!W248</f>
        <v>ok</v>
      </c>
      <c r="AG248" s="1" t="str">
        <f>Partidas!AK248</f>
        <v>ok</v>
      </c>
      <c r="AH248" s="1" t="str">
        <f t="shared" si="71"/>
        <v>Fjelstul World Cup Database + FootyStats CSV</v>
      </c>
      <c r="AI248" s="1">
        <f>Partidas!AX248</f>
        <v>0</v>
      </c>
    </row>
    <row r="249" spans="1:35" ht="15" customHeight="1">
      <c r="A249" s="1" t="str">
        <f>Partidas!C249</f>
        <v>M-2018-56</v>
      </c>
      <c r="B249" s="4">
        <f>Partidas!F249</f>
        <v>43284</v>
      </c>
      <c r="C249" s="1">
        <f>Partidas!A249</f>
        <v>2018</v>
      </c>
      <c r="D249" s="1" t="str">
        <f>Partidas!H249</f>
        <v>Colombia</v>
      </c>
      <c r="E249" s="1" t="str">
        <f>Partidas!I249</f>
        <v>England</v>
      </c>
      <c r="F249" s="5">
        <f>Partidas!J249</f>
        <v>1</v>
      </c>
      <c r="G249" s="5">
        <f>Partidas!K249</f>
        <v>1</v>
      </c>
      <c r="H249" s="1" t="str">
        <f>Partidas!M249</f>
        <v>D</v>
      </c>
      <c r="I249" s="5">
        <f t="shared" si="54"/>
        <v>2</v>
      </c>
      <c r="J249" s="1" t="b">
        <f t="shared" si="55"/>
        <v>1</v>
      </c>
      <c r="K249" s="1" t="b">
        <f t="shared" si="56"/>
        <v>0</v>
      </c>
      <c r="L249" s="1" t="b">
        <f t="shared" si="57"/>
        <v>0</v>
      </c>
      <c r="M249" s="1" t="b">
        <f t="shared" si="58"/>
        <v>1</v>
      </c>
      <c r="N249" s="1" t="b">
        <f t="shared" si="59"/>
        <v>1</v>
      </c>
      <c r="O249" s="1" t="b">
        <f t="shared" si="60"/>
        <v>1</v>
      </c>
      <c r="P249" s="1" t="b">
        <f t="shared" si="61"/>
        <v>1</v>
      </c>
      <c r="Q249" s="1" t="b">
        <f t="shared" si="62"/>
        <v>0</v>
      </c>
      <c r="R249" s="1" t="b">
        <f t="shared" si="63"/>
        <v>1</v>
      </c>
      <c r="S249" s="5">
        <f>Partidas!T249</f>
        <v>2</v>
      </c>
      <c r="T249" s="5">
        <f>Partidas!U249</f>
        <v>7</v>
      </c>
      <c r="U249" s="5">
        <f t="shared" si="64"/>
        <v>9</v>
      </c>
      <c r="V249" s="5" t="b">
        <f t="shared" si="65"/>
        <v>1</v>
      </c>
      <c r="W249" s="5" t="b">
        <f t="shared" si="66"/>
        <v>0</v>
      </c>
      <c r="X249" s="5">
        <f>Partidas!X249</f>
        <v>6</v>
      </c>
      <c r="Y249" s="5">
        <f>Partidas!Y249</f>
        <v>2</v>
      </c>
      <c r="Z249" s="5">
        <f>Partidas!AG249</f>
        <v>0</v>
      </c>
      <c r="AA249" s="5">
        <f>Partidas!AH249</f>
        <v>0</v>
      </c>
      <c r="AB249" s="5">
        <f t="shared" si="67"/>
        <v>8</v>
      </c>
      <c r="AC249" s="1" t="b">
        <f t="shared" si="68"/>
        <v>1</v>
      </c>
      <c r="AD249" s="1" t="b">
        <f t="shared" si="69"/>
        <v>1</v>
      </c>
      <c r="AE249" s="1" t="b">
        <f t="shared" si="70"/>
        <v>1</v>
      </c>
      <c r="AF249" s="1" t="str">
        <f>Partidas!W249</f>
        <v>ok</v>
      </c>
      <c r="AG249" s="1" t="str">
        <f>Partidas!AK249</f>
        <v>ok</v>
      </c>
      <c r="AH249" s="1" t="str">
        <f t="shared" si="71"/>
        <v>Fjelstul World Cup Database + FootyStats CSV</v>
      </c>
      <c r="AI249" s="1">
        <f>Partidas!AX249</f>
        <v>0</v>
      </c>
    </row>
    <row r="250" spans="1:35" ht="15" customHeight="1">
      <c r="A250" s="1" t="str">
        <f>Partidas!C250</f>
        <v>M-2018-57</v>
      </c>
      <c r="B250" s="4">
        <f>Partidas!F250</f>
        <v>43287</v>
      </c>
      <c r="C250" s="1">
        <f>Partidas!A250</f>
        <v>2018</v>
      </c>
      <c r="D250" s="1" t="str">
        <f>Partidas!H250</f>
        <v>Uruguay</v>
      </c>
      <c r="E250" s="1" t="str">
        <f>Partidas!I250</f>
        <v>France</v>
      </c>
      <c r="F250" s="5">
        <f>Partidas!J250</f>
        <v>0</v>
      </c>
      <c r="G250" s="5">
        <f>Partidas!K250</f>
        <v>2</v>
      </c>
      <c r="H250" s="1" t="str">
        <f>Partidas!M250</f>
        <v>A</v>
      </c>
      <c r="I250" s="5">
        <f t="shared" si="54"/>
        <v>2</v>
      </c>
      <c r="J250" s="1" t="b">
        <f t="shared" si="55"/>
        <v>1</v>
      </c>
      <c r="K250" s="1" t="b">
        <f t="shared" si="56"/>
        <v>0</v>
      </c>
      <c r="L250" s="1" t="b">
        <f t="shared" si="57"/>
        <v>0</v>
      </c>
      <c r="M250" s="1" t="b">
        <f t="shared" si="58"/>
        <v>1</v>
      </c>
      <c r="N250" s="1" t="b">
        <f t="shared" si="59"/>
        <v>1</v>
      </c>
      <c r="O250" s="1" t="b">
        <f t="shared" si="60"/>
        <v>0</v>
      </c>
      <c r="P250" s="1" t="b">
        <f t="shared" si="61"/>
        <v>0</v>
      </c>
      <c r="Q250" s="1" t="b">
        <f t="shared" si="62"/>
        <v>1</v>
      </c>
      <c r="R250" s="1" t="b">
        <f t="shared" si="63"/>
        <v>1</v>
      </c>
      <c r="S250" s="5">
        <f>Partidas!T250</f>
        <v>4</v>
      </c>
      <c r="T250" s="5">
        <f>Partidas!U250</f>
        <v>3</v>
      </c>
      <c r="U250" s="5">
        <f t="shared" si="64"/>
        <v>7</v>
      </c>
      <c r="V250" s="5" t="b">
        <f t="shared" si="65"/>
        <v>0</v>
      </c>
      <c r="W250" s="5" t="b">
        <f t="shared" si="66"/>
        <v>0</v>
      </c>
      <c r="X250" s="5">
        <f>Partidas!X250</f>
        <v>2</v>
      </c>
      <c r="Y250" s="5">
        <f>Partidas!Y250</f>
        <v>2</v>
      </c>
      <c r="Z250" s="5">
        <f>Partidas!AG250</f>
        <v>0</v>
      </c>
      <c r="AA250" s="5">
        <f>Partidas!AH250</f>
        <v>0</v>
      </c>
      <c r="AB250" s="5">
        <f t="shared" si="67"/>
        <v>4</v>
      </c>
      <c r="AC250" s="1" t="b">
        <f t="shared" si="68"/>
        <v>1</v>
      </c>
      <c r="AD250" s="1" t="b">
        <f t="shared" si="69"/>
        <v>0</v>
      </c>
      <c r="AE250" s="1" t="b">
        <f t="shared" si="70"/>
        <v>0</v>
      </c>
      <c r="AF250" s="1" t="str">
        <f>Partidas!W250</f>
        <v>ok</v>
      </c>
      <c r="AG250" s="1" t="str">
        <f>Partidas!AK250</f>
        <v>ok</v>
      </c>
      <c r="AH250" s="1" t="str">
        <f t="shared" si="71"/>
        <v>Fjelstul World Cup Database + FootyStats CSV</v>
      </c>
      <c r="AI250" s="1">
        <f>Partidas!AX250</f>
        <v>0</v>
      </c>
    </row>
    <row r="251" spans="1:35" ht="15" customHeight="1">
      <c r="A251" s="1" t="str">
        <f>Partidas!C251</f>
        <v>M-2018-58</v>
      </c>
      <c r="B251" s="4">
        <f>Partidas!F251</f>
        <v>43287</v>
      </c>
      <c r="C251" s="1">
        <f>Partidas!A251</f>
        <v>2018</v>
      </c>
      <c r="D251" s="1" t="str">
        <f>Partidas!H251</f>
        <v>Brazil</v>
      </c>
      <c r="E251" s="1" t="str">
        <f>Partidas!I251</f>
        <v>Belgium</v>
      </c>
      <c r="F251" s="5">
        <f>Partidas!J251</f>
        <v>1</v>
      </c>
      <c r="G251" s="5">
        <f>Partidas!K251</f>
        <v>2</v>
      </c>
      <c r="H251" s="1" t="str">
        <f>Partidas!M251</f>
        <v>A</v>
      </c>
      <c r="I251" s="5">
        <f t="shared" si="54"/>
        <v>3</v>
      </c>
      <c r="J251" s="1" t="b">
        <f t="shared" si="55"/>
        <v>1</v>
      </c>
      <c r="K251" s="1" t="b">
        <f t="shared" si="56"/>
        <v>1</v>
      </c>
      <c r="L251" s="1" t="b">
        <f t="shared" si="57"/>
        <v>0</v>
      </c>
      <c r="M251" s="1" t="b">
        <f t="shared" si="58"/>
        <v>0</v>
      </c>
      <c r="N251" s="1" t="b">
        <f t="shared" si="59"/>
        <v>1</v>
      </c>
      <c r="O251" s="1" t="b">
        <f t="shared" si="60"/>
        <v>1</v>
      </c>
      <c r="P251" s="1" t="b">
        <f t="shared" si="61"/>
        <v>0</v>
      </c>
      <c r="Q251" s="1" t="b">
        <f t="shared" si="62"/>
        <v>1</v>
      </c>
      <c r="R251" s="1" t="b">
        <f t="shared" si="63"/>
        <v>1</v>
      </c>
      <c r="S251" s="5">
        <f>Partidas!T251</f>
        <v>8</v>
      </c>
      <c r="T251" s="5">
        <f>Partidas!U251</f>
        <v>4</v>
      </c>
      <c r="U251" s="5">
        <f t="shared" si="64"/>
        <v>12</v>
      </c>
      <c r="V251" s="5" t="b">
        <f t="shared" si="65"/>
        <v>1</v>
      </c>
      <c r="W251" s="5" t="b">
        <f t="shared" si="66"/>
        <v>1</v>
      </c>
      <c r="X251" s="5">
        <f>Partidas!X251</f>
        <v>2</v>
      </c>
      <c r="Y251" s="5">
        <f>Partidas!Y251</f>
        <v>2</v>
      </c>
      <c r="Z251" s="5">
        <f>Partidas!AG251</f>
        <v>0</v>
      </c>
      <c r="AA251" s="5">
        <f>Partidas!AH251</f>
        <v>0</v>
      </c>
      <c r="AB251" s="5">
        <f t="shared" si="67"/>
        <v>4</v>
      </c>
      <c r="AC251" s="1" t="b">
        <f t="shared" si="68"/>
        <v>1</v>
      </c>
      <c r="AD251" s="1" t="b">
        <f t="shared" si="69"/>
        <v>0</v>
      </c>
      <c r="AE251" s="1" t="b">
        <f t="shared" si="70"/>
        <v>0</v>
      </c>
      <c r="AF251" s="1" t="str">
        <f>Partidas!W251</f>
        <v>ok</v>
      </c>
      <c r="AG251" s="1" t="str">
        <f>Partidas!AK251</f>
        <v>ok</v>
      </c>
      <c r="AH251" s="1" t="str">
        <f t="shared" si="71"/>
        <v>Fjelstul World Cup Database + FootyStats CSV</v>
      </c>
      <c r="AI251" s="1">
        <f>Partidas!AX251</f>
        <v>0</v>
      </c>
    </row>
    <row r="252" spans="1:35" ht="15" customHeight="1">
      <c r="A252" s="1" t="str">
        <f>Partidas!C252</f>
        <v>M-2018-59</v>
      </c>
      <c r="B252" s="4">
        <f>Partidas!F252</f>
        <v>43288</v>
      </c>
      <c r="C252" s="1">
        <f>Partidas!A252</f>
        <v>2018</v>
      </c>
      <c r="D252" s="1" t="str">
        <f>Partidas!H252</f>
        <v>Sweden</v>
      </c>
      <c r="E252" s="1" t="str">
        <f>Partidas!I252</f>
        <v>England</v>
      </c>
      <c r="F252" s="5">
        <f>Partidas!J252</f>
        <v>0</v>
      </c>
      <c r="G252" s="5">
        <f>Partidas!K252</f>
        <v>2</v>
      </c>
      <c r="H252" s="1" t="str">
        <f>Partidas!M252</f>
        <v>A</v>
      </c>
      <c r="I252" s="5">
        <f t="shared" si="54"/>
        <v>2</v>
      </c>
      <c r="J252" s="1" t="b">
        <f t="shared" si="55"/>
        <v>1</v>
      </c>
      <c r="K252" s="1" t="b">
        <f t="shared" si="56"/>
        <v>0</v>
      </c>
      <c r="L252" s="1" t="b">
        <f t="shared" si="57"/>
        <v>0</v>
      </c>
      <c r="M252" s="1" t="b">
        <f t="shared" si="58"/>
        <v>1</v>
      </c>
      <c r="N252" s="1" t="b">
        <f t="shared" si="59"/>
        <v>1</v>
      </c>
      <c r="O252" s="1" t="b">
        <f t="shared" si="60"/>
        <v>0</v>
      </c>
      <c r="P252" s="1" t="b">
        <f t="shared" si="61"/>
        <v>0</v>
      </c>
      <c r="Q252" s="1" t="b">
        <f t="shared" si="62"/>
        <v>1</v>
      </c>
      <c r="R252" s="1" t="b">
        <f t="shared" si="63"/>
        <v>1</v>
      </c>
      <c r="S252" s="5">
        <f>Partidas!T252</f>
        <v>1</v>
      </c>
      <c r="T252" s="5">
        <f>Partidas!U252</f>
        <v>6</v>
      </c>
      <c r="U252" s="5">
        <f t="shared" si="64"/>
        <v>7</v>
      </c>
      <c r="V252" s="5" t="b">
        <f t="shared" si="65"/>
        <v>0</v>
      </c>
      <c r="W252" s="5" t="b">
        <f t="shared" si="66"/>
        <v>0</v>
      </c>
      <c r="X252" s="5">
        <f>Partidas!X252</f>
        <v>2</v>
      </c>
      <c r="Y252" s="5">
        <f>Partidas!Y252</f>
        <v>1</v>
      </c>
      <c r="Z252" s="5">
        <f>Partidas!AG252</f>
        <v>0</v>
      </c>
      <c r="AA252" s="5">
        <f>Partidas!AH252</f>
        <v>0</v>
      </c>
      <c r="AB252" s="5">
        <f t="shared" si="67"/>
        <v>3</v>
      </c>
      <c r="AC252" s="1" t="b">
        <f t="shared" si="68"/>
        <v>0</v>
      </c>
      <c r="AD252" s="1" t="b">
        <f t="shared" si="69"/>
        <v>0</v>
      </c>
      <c r="AE252" s="1" t="b">
        <f t="shared" si="70"/>
        <v>0</v>
      </c>
      <c r="AF252" s="1" t="str">
        <f>Partidas!W252</f>
        <v>ok</v>
      </c>
      <c r="AG252" s="1" t="str">
        <f>Partidas!AK252</f>
        <v>ok</v>
      </c>
      <c r="AH252" s="1" t="str">
        <f t="shared" si="71"/>
        <v>Fjelstul World Cup Database + FootyStats CSV</v>
      </c>
      <c r="AI252" s="1">
        <f>Partidas!AX252</f>
        <v>0</v>
      </c>
    </row>
    <row r="253" spans="1:35" ht="15" customHeight="1">
      <c r="A253" s="1" t="str">
        <f>Partidas!C253</f>
        <v>M-2018-60</v>
      </c>
      <c r="B253" s="4">
        <f>Partidas!F253</f>
        <v>43288</v>
      </c>
      <c r="C253" s="1">
        <f>Partidas!A253</f>
        <v>2018</v>
      </c>
      <c r="D253" s="1" t="str">
        <f>Partidas!H253</f>
        <v>Russia</v>
      </c>
      <c r="E253" s="1" t="str">
        <f>Partidas!I253</f>
        <v>Croatia</v>
      </c>
      <c r="F253" s="5">
        <f>Partidas!J253</f>
        <v>2</v>
      </c>
      <c r="G253" s="5">
        <f>Partidas!K253</f>
        <v>2</v>
      </c>
      <c r="H253" s="1" t="str">
        <f>Partidas!M253</f>
        <v>D</v>
      </c>
      <c r="I253" s="5">
        <f t="shared" si="54"/>
        <v>4</v>
      </c>
      <c r="J253" s="1" t="b">
        <f t="shared" si="55"/>
        <v>1</v>
      </c>
      <c r="K253" s="1" t="b">
        <f t="shared" si="56"/>
        <v>1</v>
      </c>
      <c r="L253" s="1" t="b">
        <f t="shared" si="57"/>
        <v>1</v>
      </c>
      <c r="M253" s="1" t="b">
        <f t="shared" si="58"/>
        <v>0</v>
      </c>
      <c r="N253" s="1" t="b">
        <f t="shared" si="59"/>
        <v>0</v>
      </c>
      <c r="O253" s="1" t="b">
        <f t="shared" si="60"/>
        <v>1</v>
      </c>
      <c r="P253" s="1" t="b">
        <f t="shared" si="61"/>
        <v>1</v>
      </c>
      <c r="Q253" s="1" t="b">
        <f t="shared" si="62"/>
        <v>0</v>
      </c>
      <c r="R253" s="1" t="b">
        <f t="shared" si="63"/>
        <v>1</v>
      </c>
      <c r="S253" s="5">
        <f>Partidas!T253</f>
        <v>2</v>
      </c>
      <c r="T253" s="5">
        <f>Partidas!U253</f>
        <v>6</v>
      </c>
      <c r="U253" s="5">
        <f t="shared" si="64"/>
        <v>8</v>
      </c>
      <c r="V253" s="5" t="b">
        <f t="shared" si="65"/>
        <v>0</v>
      </c>
      <c r="W253" s="5" t="b">
        <f t="shared" si="66"/>
        <v>0</v>
      </c>
      <c r="X253" s="5">
        <f>Partidas!X253</f>
        <v>1</v>
      </c>
      <c r="Y253" s="5">
        <f>Partidas!Y253</f>
        <v>4</v>
      </c>
      <c r="Z253" s="5">
        <f>Partidas!AG253</f>
        <v>0</v>
      </c>
      <c r="AA253" s="5">
        <f>Partidas!AH253</f>
        <v>0</v>
      </c>
      <c r="AB253" s="5">
        <f t="shared" si="67"/>
        <v>5</v>
      </c>
      <c r="AC253" s="1" t="b">
        <f t="shared" si="68"/>
        <v>1</v>
      </c>
      <c r="AD253" s="1" t="b">
        <f t="shared" si="69"/>
        <v>1</v>
      </c>
      <c r="AE253" s="1" t="b">
        <f t="shared" si="70"/>
        <v>0</v>
      </c>
      <c r="AF253" s="1" t="str">
        <f>Partidas!W253</f>
        <v>ok</v>
      </c>
      <c r="AG253" s="1" t="str">
        <f>Partidas!AK253</f>
        <v>ok</v>
      </c>
      <c r="AH253" s="1" t="str">
        <f t="shared" si="71"/>
        <v>Fjelstul World Cup Database + FootyStats CSV</v>
      </c>
      <c r="AI253" s="1">
        <f>Partidas!AX253</f>
        <v>0</v>
      </c>
    </row>
    <row r="254" spans="1:35" ht="15" customHeight="1">
      <c r="A254" s="1" t="str">
        <f>Partidas!C254</f>
        <v>M-2018-61</v>
      </c>
      <c r="B254" s="4">
        <f>Partidas!F254</f>
        <v>43291</v>
      </c>
      <c r="C254" s="1">
        <f>Partidas!A254</f>
        <v>2018</v>
      </c>
      <c r="D254" s="1" t="str">
        <f>Partidas!H254</f>
        <v>France</v>
      </c>
      <c r="E254" s="1" t="str">
        <f>Partidas!I254</f>
        <v>Belgium</v>
      </c>
      <c r="F254" s="5">
        <f>Partidas!J254</f>
        <v>1</v>
      </c>
      <c r="G254" s="5">
        <f>Partidas!K254</f>
        <v>0</v>
      </c>
      <c r="H254" s="1" t="str">
        <f>Partidas!M254</f>
        <v>H</v>
      </c>
      <c r="I254" s="5">
        <f t="shared" si="54"/>
        <v>1</v>
      </c>
      <c r="J254" s="1" t="b">
        <f t="shared" si="55"/>
        <v>0</v>
      </c>
      <c r="K254" s="1" t="b">
        <f t="shared" si="56"/>
        <v>0</v>
      </c>
      <c r="L254" s="1" t="b">
        <f t="shared" si="57"/>
        <v>0</v>
      </c>
      <c r="M254" s="1" t="b">
        <f t="shared" si="58"/>
        <v>1</v>
      </c>
      <c r="N254" s="1" t="b">
        <f t="shared" si="59"/>
        <v>1</v>
      </c>
      <c r="O254" s="1" t="b">
        <f t="shared" si="60"/>
        <v>0</v>
      </c>
      <c r="P254" s="1" t="b">
        <f t="shared" si="61"/>
        <v>1</v>
      </c>
      <c r="Q254" s="1" t="b">
        <f t="shared" si="62"/>
        <v>1</v>
      </c>
      <c r="R254" s="1" t="b">
        <f t="shared" si="63"/>
        <v>0</v>
      </c>
      <c r="S254" s="5">
        <f>Partidas!T254</f>
        <v>4</v>
      </c>
      <c r="T254" s="5">
        <f>Partidas!U254</f>
        <v>5</v>
      </c>
      <c r="U254" s="5">
        <f t="shared" si="64"/>
        <v>9</v>
      </c>
      <c r="V254" s="5" t="b">
        <f t="shared" si="65"/>
        <v>1</v>
      </c>
      <c r="W254" s="5" t="b">
        <f t="shared" si="66"/>
        <v>0</v>
      </c>
      <c r="X254" s="5">
        <f>Partidas!X254</f>
        <v>2</v>
      </c>
      <c r="Y254" s="5">
        <f>Partidas!Y254</f>
        <v>3</v>
      </c>
      <c r="Z254" s="5">
        <f>Partidas!AG254</f>
        <v>0</v>
      </c>
      <c r="AA254" s="5">
        <f>Partidas!AH254</f>
        <v>0</v>
      </c>
      <c r="AB254" s="5">
        <f t="shared" si="67"/>
        <v>5</v>
      </c>
      <c r="AC254" s="1" t="b">
        <f t="shared" si="68"/>
        <v>1</v>
      </c>
      <c r="AD254" s="1" t="b">
        <f t="shared" si="69"/>
        <v>1</v>
      </c>
      <c r="AE254" s="1" t="b">
        <f t="shared" si="70"/>
        <v>0</v>
      </c>
      <c r="AF254" s="1" t="str">
        <f>Partidas!W254</f>
        <v>ok</v>
      </c>
      <c r="AG254" s="1" t="str">
        <f>Partidas!AK254</f>
        <v>ok</v>
      </c>
      <c r="AH254" s="1" t="str">
        <f t="shared" si="71"/>
        <v>Fjelstul World Cup Database + FootyStats CSV</v>
      </c>
      <c r="AI254" s="1">
        <f>Partidas!AX254</f>
        <v>0</v>
      </c>
    </row>
    <row r="255" spans="1:35" ht="15" customHeight="1">
      <c r="A255" s="1" t="str">
        <f>Partidas!C255</f>
        <v>M-2018-62</v>
      </c>
      <c r="B255" s="4">
        <f>Partidas!F255</f>
        <v>43292</v>
      </c>
      <c r="C255" s="1">
        <f>Partidas!A255</f>
        <v>2018</v>
      </c>
      <c r="D255" s="1" t="str">
        <f>Partidas!H255</f>
        <v>Croatia</v>
      </c>
      <c r="E255" s="1" t="str">
        <f>Partidas!I255</f>
        <v>England</v>
      </c>
      <c r="F255" s="5">
        <f>Partidas!J255</f>
        <v>2</v>
      </c>
      <c r="G255" s="5">
        <f>Partidas!K255</f>
        <v>1</v>
      </c>
      <c r="H255" s="1" t="str">
        <f>Partidas!M255</f>
        <v>H</v>
      </c>
      <c r="I255" s="5">
        <f t="shared" si="54"/>
        <v>3</v>
      </c>
      <c r="J255" s="1" t="b">
        <f t="shared" si="55"/>
        <v>1</v>
      </c>
      <c r="K255" s="1" t="b">
        <f t="shared" si="56"/>
        <v>1</v>
      </c>
      <c r="L255" s="1" t="b">
        <f t="shared" si="57"/>
        <v>0</v>
      </c>
      <c r="M255" s="1" t="b">
        <f t="shared" si="58"/>
        <v>0</v>
      </c>
      <c r="N255" s="1" t="b">
        <f t="shared" si="59"/>
        <v>1</v>
      </c>
      <c r="O255" s="1" t="b">
        <f t="shared" si="60"/>
        <v>1</v>
      </c>
      <c r="P255" s="1" t="b">
        <f t="shared" si="61"/>
        <v>1</v>
      </c>
      <c r="Q255" s="1" t="b">
        <f t="shared" si="62"/>
        <v>1</v>
      </c>
      <c r="R255" s="1" t="b">
        <f t="shared" si="63"/>
        <v>0</v>
      </c>
      <c r="S255" s="5">
        <f>Partidas!T255</f>
        <v>8</v>
      </c>
      <c r="T255" s="5">
        <f>Partidas!U255</f>
        <v>4</v>
      </c>
      <c r="U255" s="5">
        <f t="shared" si="64"/>
        <v>12</v>
      </c>
      <c r="V255" s="5" t="b">
        <f t="shared" si="65"/>
        <v>1</v>
      </c>
      <c r="W255" s="5" t="b">
        <f t="shared" si="66"/>
        <v>1</v>
      </c>
      <c r="X255" s="5">
        <f>Partidas!X255</f>
        <v>2</v>
      </c>
      <c r="Y255" s="5">
        <f>Partidas!Y255</f>
        <v>1</v>
      </c>
      <c r="Z255" s="5">
        <f>Partidas!AG255</f>
        <v>0</v>
      </c>
      <c r="AA255" s="5">
        <f>Partidas!AH255</f>
        <v>0</v>
      </c>
      <c r="AB255" s="5">
        <f t="shared" si="67"/>
        <v>3</v>
      </c>
      <c r="AC255" s="1" t="b">
        <f t="shared" si="68"/>
        <v>0</v>
      </c>
      <c r="AD255" s="1" t="b">
        <f t="shared" si="69"/>
        <v>0</v>
      </c>
      <c r="AE255" s="1" t="b">
        <f t="shared" si="70"/>
        <v>0</v>
      </c>
      <c r="AF255" s="1" t="str">
        <f>Partidas!W255</f>
        <v>ok</v>
      </c>
      <c r="AG255" s="1" t="str">
        <f>Partidas!AK255</f>
        <v>ok</v>
      </c>
      <c r="AH255" s="1" t="str">
        <f t="shared" si="71"/>
        <v>Fjelstul World Cup Database + FootyStats CSV</v>
      </c>
      <c r="AI255" s="1">
        <f>Partidas!AX255</f>
        <v>0</v>
      </c>
    </row>
    <row r="256" spans="1:35" ht="15" customHeight="1">
      <c r="A256" s="1" t="str">
        <f>Partidas!C256</f>
        <v>M-2018-63</v>
      </c>
      <c r="B256" s="4">
        <f>Partidas!F256</f>
        <v>43295</v>
      </c>
      <c r="C256" s="1">
        <f>Partidas!A256</f>
        <v>2018</v>
      </c>
      <c r="D256" s="1" t="str">
        <f>Partidas!H256</f>
        <v>Belgium</v>
      </c>
      <c r="E256" s="1" t="str">
        <f>Partidas!I256</f>
        <v>England</v>
      </c>
      <c r="F256" s="5">
        <f>Partidas!J256</f>
        <v>2</v>
      </c>
      <c r="G256" s="5">
        <f>Partidas!K256</f>
        <v>0</v>
      </c>
      <c r="H256" s="1" t="str">
        <f>Partidas!M256</f>
        <v>H</v>
      </c>
      <c r="I256" s="5">
        <f t="shared" si="54"/>
        <v>2</v>
      </c>
      <c r="J256" s="1" t="b">
        <f t="shared" si="55"/>
        <v>1</v>
      </c>
      <c r="K256" s="1" t="b">
        <f t="shared" si="56"/>
        <v>0</v>
      </c>
      <c r="L256" s="1" t="b">
        <f t="shared" si="57"/>
        <v>0</v>
      </c>
      <c r="M256" s="1" t="b">
        <f t="shared" si="58"/>
        <v>1</v>
      </c>
      <c r="N256" s="1" t="b">
        <f t="shared" si="59"/>
        <v>1</v>
      </c>
      <c r="O256" s="1" t="b">
        <f t="shared" si="60"/>
        <v>0</v>
      </c>
      <c r="P256" s="1" t="b">
        <f t="shared" si="61"/>
        <v>1</v>
      </c>
      <c r="Q256" s="1" t="b">
        <f t="shared" si="62"/>
        <v>1</v>
      </c>
      <c r="R256" s="1" t="b">
        <f t="shared" si="63"/>
        <v>0</v>
      </c>
      <c r="S256" s="5">
        <f>Partidas!T256</f>
        <v>4</v>
      </c>
      <c r="T256" s="5">
        <f>Partidas!U256</f>
        <v>5</v>
      </c>
      <c r="U256" s="5">
        <f t="shared" si="64"/>
        <v>9</v>
      </c>
      <c r="V256" s="5" t="b">
        <f t="shared" si="65"/>
        <v>1</v>
      </c>
      <c r="W256" s="5" t="b">
        <f t="shared" si="66"/>
        <v>0</v>
      </c>
      <c r="X256" s="5">
        <f>Partidas!X256</f>
        <v>1</v>
      </c>
      <c r="Y256" s="5">
        <f>Partidas!Y256</f>
        <v>2</v>
      </c>
      <c r="Z256" s="5">
        <f>Partidas!AG256</f>
        <v>0</v>
      </c>
      <c r="AA256" s="5">
        <f>Partidas!AH256</f>
        <v>0</v>
      </c>
      <c r="AB256" s="5">
        <f t="shared" si="67"/>
        <v>3</v>
      </c>
      <c r="AC256" s="1" t="b">
        <f t="shared" si="68"/>
        <v>0</v>
      </c>
      <c r="AD256" s="1" t="b">
        <f t="shared" si="69"/>
        <v>0</v>
      </c>
      <c r="AE256" s="1" t="b">
        <f t="shared" si="70"/>
        <v>0</v>
      </c>
      <c r="AF256" s="1" t="str">
        <f>Partidas!W256</f>
        <v>ok</v>
      </c>
      <c r="AG256" s="1" t="str">
        <f>Partidas!AK256</f>
        <v>ok</v>
      </c>
      <c r="AH256" s="1" t="str">
        <f t="shared" si="71"/>
        <v>Fjelstul World Cup Database + FootyStats CSV</v>
      </c>
      <c r="AI256" s="1">
        <f>Partidas!AX256</f>
        <v>0</v>
      </c>
    </row>
    <row r="257" spans="1:35" ht="15" customHeight="1">
      <c r="A257" s="1" t="str">
        <f>Partidas!C257</f>
        <v>M-2018-64</v>
      </c>
      <c r="B257" s="4">
        <f>Partidas!F257</f>
        <v>43296</v>
      </c>
      <c r="C257" s="1">
        <f>Partidas!A257</f>
        <v>2018</v>
      </c>
      <c r="D257" s="1" t="str">
        <f>Partidas!H257</f>
        <v>France</v>
      </c>
      <c r="E257" s="1" t="str">
        <f>Partidas!I257</f>
        <v>Croatia</v>
      </c>
      <c r="F257" s="5">
        <f>Partidas!J257</f>
        <v>4</v>
      </c>
      <c r="G257" s="5">
        <f>Partidas!K257</f>
        <v>2</v>
      </c>
      <c r="H257" s="1" t="str">
        <f>Partidas!M257</f>
        <v>H</v>
      </c>
      <c r="I257" s="5">
        <f t="shared" si="54"/>
        <v>6</v>
      </c>
      <c r="J257" s="1" t="b">
        <f t="shared" si="55"/>
        <v>1</v>
      </c>
      <c r="K257" s="1" t="b">
        <f t="shared" si="56"/>
        <v>1</v>
      </c>
      <c r="L257" s="1" t="b">
        <f t="shared" si="57"/>
        <v>1</v>
      </c>
      <c r="M257" s="1" t="b">
        <f t="shared" si="58"/>
        <v>0</v>
      </c>
      <c r="N257" s="1" t="b">
        <f t="shared" si="59"/>
        <v>0</v>
      </c>
      <c r="O257" s="1" t="b">
        <f t="shared" si="60"/>
        <v>1</v>
      </c>
      <c r="P257" s="1" t="b">
        <f t="shared" si="61"/>
        <v>1</v>
      </c>
      <c r="Q257" s="1" t="b">
        <f t="shared" si="62"/>
        <v>1</v>
      </c>
      <c r="R257" s="1" t="b">
        <f t="shared" si="63"/>
        <v>0</v>
      </c>
      <c r="S257" s="5">
        <f>Partidas!T257</f>
        <v>2</v>
      </c>
      <c r="T257" s="5">
        <f>Partidas!U257</f>
        <v>6</v>
      </c>
      <c r="U257" s="5">
        <f t="shared" si="64"/>
        <v>8</v>
      </c>
      <c r="V257" s="5" t="b">
        <f t="shared" si="65"/>
        <v>0</v>
      </c>
      <c r="W257" s="5" t="b">
        <f t="shared" si="66"/>
        <v>0</v>
      </c>
      <c r="X257" s="5">
        <f>Partidas!X257</f>
        <v>2</v>
      </c>
      <c r="Y257" s="5">
        <f>Partidas!Y257</f>
        <v>1</v>
      </c>
      <c r="Z257" s="5">
        <f>Partidas!AG257</f>
        <v>0</v>
      </c>
      <c r="AA257" s="5">
        <f>Partidas!AH257</f>
        <v>0</v>
      </c>
      <c r="AB257" s="5">
        <f t="shared" si="67"/>
        <v>3</v>
      </c>
      <c r="AC257" s="1" t="b">
        <f t="shared" si="68"/>
        <v>0</v>
      </c>
      <c r="AD257" s="1" t="b">
        <f t="shared" si="69"/>
        <v>0</v>
      </c>
      <c r="AE257" s="1" t="b">
        <f t="shared" si="70"/>
        <v>0</v>
      </c>
      <c r="AF257" s="1" t="str">
        <f>Partidas!W257</f>
        <v>ok</v>
      </c>
      <c r="AG257" s="1" t="str">
        <f>Partidas!AK257</f>
        <v>ok</v>
      </c>
      <c r="AH257" s="1" t="str">
        <f t="shared" si="71"/>
        <v>Fjelstul World Cup Database + FootyStats CSV</v>
      </c>
      <c r="AI257" s="1">
        <f>Partidas!AX257</f>
        <v>0</v>
      </c>
    </row>
    <row r="258" spans="1:35" ht="15" customHeight="1">
      <c r="A258" s="1" t="str">
        <f>Partidas!C258</f>
        <v>M-2022-01</v>
      </c>
      <c r="B258" s="4">
        <f>Partidas!F258</f>
        <v>44885</v>
      </c>
      <c r="C258" s="1">
        <f>Partidas!A258</f>
        <v>2022</v>
      </c>
      <c r="D258" s="1" t="str">
        <f>Partidas!H258</f>
        <v>Qatar</v>
      </c>
      <c r="E258" s="1" t="str">
        <f>Partidas!I258</f>
        <v>Ecuador</v>
      </c>
      <c r="F258" s="5">
        <f>Partidas!J258</f>
        <v>0</v>
      </c>
      <c r="G258" s="5">
        <f>Partidas!K258</f>
        <v>2</v>
      </c>
      <c r="H258" s="1" t="str">
        <f>Partidas!M258</f>
        <v>A</v>
      </c>
      <c r="I258" s="5">
        <f t="shared" ref="I258:I321" si="72">F258+G258</f>
        <v>2</v>
      </c>
      <c r="J258" s="1" t="b">
        <f t="shared" ref="J258:J321" si="73">I258&gt;1.5</f>
        <v>1</v>
      </c>
      <c r="K258" s="1" t="b">
        <f t="shared" ref="K258:K321" si="74">I258&gt;2.5</f>
        <v>0</v>
      </c>
      <c r="L258" s="1" t="b">
        <f t="shared" ref="L258:L321" si="75">I258&gt;3.5</f>
        <v>0</v>
      </c>
      <c r="M258" s="1" t="b">
        <f t="shared" ref="M258:M321" si="76">I258&lt;2.5</f>
        <v>1</v>
      </c>
      <c r="N258" s="1" t="b">
        <f t="shared" ref="N258:N321" si="77">I258&lt;3.5</f>
        <v>1</v>
      </c>
      <c r="O258" s="1" t="b">
        <f t="shared" ref="O258:O321" si="78">AND(F258&gt;0,G258&gt;0)</f>
        <v>0</v>
      </c>
      <c r="P258" s="1" t="b">
        <f t="shared" ref="P258:P321" si="79">OR(H258="H",H258="D")</f>
        <v>0</v>
      </c>
      <c r="Q258" s="1" t="b">
        <f t="shared" ref="Q258:Q321" si="80">OR(H258="H",H258="A")</f>
        <v>1</v>
      </c>
      <c r="R258" s="1" t="b">
        <f t="shared" ref="R258:R321" si="81">OR(H258="D",H258="A")</f>
        <v>1</v>
      </c>
      <c r="S258" s="5">
        <f>Partidas!T258</f>
        <v>1</v>
      </c>
      <c r="T258" s="5">
        <f>Partidas!U258</f>
        <v>3</v>
      </c>
      <c r="U258" s="5">
        <f t="shared" ref="U258:U321" si="82">IF(OR(S258="",T258=""),"",S258+T258)</f>
        <v>4</v>
      </c>
      <c r="V258" s="5" t="b">
        <f t="shared" ref="V258:V321" si="83">IF(U258="","dados_insuficientes",U258&gt;8.5)</f>
        <v>0</v>
      </c>
      <c r="W258" s="5" t="b">
        <f t="shared" ref="W258:W321" si="84">IF(U258="","dados_insuficientes",U258&gt;9.5)</f>
        <v>0</v>
      </c>
      <c r="X258" s="5">
        <f>Partidas!X258</f>
        <v>4</v>
      </c>
      <c r="Y258" s="5">
        <f>Partidas!Y258</f>
        <v>2</v>
      </c>
      <c r="Z258" s="5">
        <f>Partidas!AG258</f>
        <v>0</v>
      </c>
      <c r="AA258" s="5">
        <f>Partidas!AH258</f>
        <v>0</v>
      </c>
      <c r="AB258" s="5">
        <f t="shared" ref="AB258:AB321" si="85">X258+Y258+Z258+AA258</f>
        <v>6</v>
      </c>
      <c r="AC258" s="1" t="b">
        <f t="shared" ref="AC258:AC321" si="86">AB258&gt;3.5</f>
        <v>1</v>
      </c>
      <c r="AD258" s="1" t="b">
        <f t="shared" ref="AD258:AD321" si="87">AB258&gt;4.5</f>
        <v>1</v>
      </c>
      <c r="AE258" s="1" t="b">
        <f t="shared" ref="AE258:AE321" si="88">AB258&gt;5.5</f>
        <v>1</v>
      </c>
      <c r="AF258" s="1" t="str">
        <f>Partidas!W258</f>
        <v>ok</v>
      </c>
      <c r="AG258" s="1" t="str">
        <f>Partidas!AK258</f>
        <v>ok</v>
      </c>
      <c r="AH258" s="1" t="str">
        <f t="shared" ref="AH258:AH321" si="89">"Fjelstul World Cup Database + FootyStats CSV"</f>
        <v>Fjelstul World Cup Database + FootyStats CSV</v>
      </c>
      <c r="AI258" s="1">
        <f>Partidas!AX258</f>
        <v>0</v>
      </c>
    </row>
    <row r="259" spans="1:35" ht="15" customHeight="1">
      <c r="A259" s="1" t="str">
        <f>Partidas!C259</f>
        <v>M-2022-02</v>
      </c>
      <c r="B259" s="4">
        <f>Partidas!F259</f>
        <v>44886</v>
      </c>
      <c r="C259" s="1">
        <f>Partidas!A259</f>
        <v>2022</v>
      </c>
      <c r="D259" s="1" t="str">
        <f>Partidas!H259</f>
        <v>England</v>
      </c>
      <c r="E259" s="1" t="str">
        <f>Partidas!I259</f>
        <v>Iran</v>
      </c>
      <c r="F259" s="5">
        <f>Partidas!J259</f>
        <v>6</v>
      </c>
      <c r="G259" s="5">
        <f>Partidas!K259</f>
        <v>2</v>
      </c>
      <c r="H259" s="1" t="str">
        <f>Partidas!M259</f>
        <v>H</v>
      </c>
      <c r="I259" s="5">
        <f t="shared" si="72"/>
        <v>8</v>
      </c>
      <c r="J259" s="1" t="b">
        <f t="shared" si="73"/>
        <v>1</v>
      </c>
      <c r="K259" s="1" t="b">
        <f t="shared" si="74"/>
        <v>1</v>
      </c>
      <c r="L259" s="1" t="b">
        <f t="shared" si="75"/>
        <v>1</v>
      </c>
      <c r="M259" s="1" t="b">
        <f t="shared" si="76"/>
        <v>0</v>
      </c>
      <c r="N259" s="1" t="b">
        <f t="shared" si="77"/>
        <v>0</v>
      </c>
      <c r="O259" s="1" t="b">
        <f t="shared" si="78"/>
        <v>1</v>
      </c>
      <c r="P259" s="1" t="b">
        <f t="shared" si="79"/>
        <v>1</v>
      </c>
      <c r="Q259" s="1" t="b">
        <f t="shared" si="80"/>
        <v>1</v>
      </c>
      <c r="R259" s="1" t="b">
        <f t="shared" si="81"/>
        <v>0</v>
      </c>
      <c r="S259" s="5">
        <f>Partidas!T259</f>
        <v>8</v>
      </c>
      <c r="T259" s="5">
        <f>Partidas!U259</f>
        <v>0</v>
      </c>
      <c r="U259" s="5">
        <f t="shared" si="82"/>
        <v>8</v>
      </c>
      <c r="V259" s="5" t="b">
        <f t="shared" si="83"/>
        <v>0</v>
      </c>
      <c r="W259" s="5" t="b">
        <f t="shared" si="84"/>
        <v>0</v>
      </c>
      <c r="X259" s="5">
        <f>Partidas!X259</f>
        <v>0</v>
      </c>
      <c r="Y259" s="5">
        <f>Partidas!Y259</f>
        <v>2</v>
      </c>
      <c r="Z259" s="5">
        <f>Partidas!AG259</f>
        <v>0</v>
      </c>
      <c r="AA259" s="5">
        <f>Partidas!AH259</f>
        <v>0</v>
      </c>
      <c r="AB259" s="5">
        <f t="shared" si="85"/>
        <v>2</v>
      </c>
      <c r="AC259" s="1" t="b">
        <f t="shared" si="86"/>
        <v>0</v>
      </c>
      <c r="AD259" s="1" t="b">
        <f t="shared" si="87"/>
        <v>0</v>
      </c>
      <c r="AE259" s="1" t="b">
        <f t="shared" si="88"/>
        <v>0</v>
      </c>
      <c r="AF259" s="1" t="str">
        <f>Partidas!W259</f>
        <v>ok</v>
      </c>
      <c r="AG259" s="1" t="str">
        <f>Partidas!AK259</f>
        <v>ok</v>
      </c>
      <c r="AH259" s="1" t="str">
        <f t="shared" si="89"/>
        <v>Fjelstul World Cup Database + FootyStats CSV</v>
      </c>
      <c r="AI259" s="1">
        <f>Partidas!AX259</f>
        <v>0</v>
      </c>
    </row>
    <row r="260" spans="1:35" ht="15" customHeight="1">
      <c r="A260" s="1" t="str">
        <f>Partidas!C260</f>
        <v>M-2022-03</v>
      </c>
      <c r="B260" s="4">
        <f>Partidas!F260</f>
        <v>44886</v>
      </c>
      <c r="C260" s="1">
        <f>Partidas!A260</f>
        <v>2022</v>
      </c>
      <c r="D260" s="1" t="str">
        <f>Partidas!H260</f>
        <v>Senegal</v>
      </c>
      <c r="E260" s="1" t="str">
        <f>Partidas!I260</f>
        <v>Netherlands</v>
      </c>
      <c r="F260" s="5">
        <f>Partidas!J260</f>
        <v>0</v>
      </c>
      <c r="G260" s="5">
        <f>Partidas!K260</f>
        <v>2</v>
      </c>
      <c r="H260" s="1" t="str">
        <f>Partidas!M260</f>
        <v>A</v>
      </c>
      <c r="I260" s="5">
        <f t="shared" si="72"/>
        <v>2</v>
      </c>
      <c r="J260" s="1" t="b">
        <f t="shared" si="73"/>
        <v>1</v>
      </c>
      <c r="K260" s="1" t="b">
        <f t="shared" si="74"/>
        <v>0</v>
      </c>
      <c r="L260" s="1" t="b">
        <f t="shared" si="75"/>
        <v>0</v>
      </c>
      <c r="M260" s="1" t="b">
        <f t="shared" si="76"/>
        <v>1</v>
      </c>
      <c r="N260" s="1" t="b">
        <f t="shared" si="77"/>
        <v>1</v>
      </c>
      <c r="O260" s="1" t="b">
        <f t="shared" si="78"/>
        <v>0</v>
      </c>
      <c r="P260" s="1" t="b">
        <f t="shared" si="79"/>
        <v>0</v>
      </c>
      <c r="Q260" s="1" t="b">
        <f t="shared" si="80"/>
        <v>1</v>
      </c>
      <c r="R260" s="1" t="b">
        <f t="shared" si="81"/>
        <v>1</v>
      </c>
      <c r="S260" s="5">
        <f>Partidas!T260</f>
        <v>6</v>
      </c>
      <c r="T260" s="5">
        <f>Partidas!U260</f>
        <v>7</v>
      </c>
      <c r="U260" s="5">
        <f t="shared" si="82"/>
        <v>13</v>
      </c>
      <c r="V260" s="5" t="b">
        <f t="shared" si="83"/>
        <v>1</v>
      </c>
      <c r="W260" s="5" t="b">
        <f t="shared" si="84"/>
        <v>1</v>
      </c>
      <c r="X260" s="5">
        <f>Partidas!X260</f>
        <v>2</v>
      </c>
      <c r="Y260" s="5">
        <f>Partidas!Y260</f>
        <v>1</v>
      </c>
      <c r="Z260" s="5">
        <f>Partidas!AG260</f>
        <v>0</v>
      </c>
      <c r="AA260" s="5">
        <f>Partidas!AH260</f>
        <v>0</v>
      </c>
      <c r="AB260" s="5">
        <f t="shared" si="85"/>
        <v>3</v>
      </c>
      <c r="AC260" s="1" t="b">
        <f t="shared" si="86"/>
        <v>0</v>
      </c>
      <c r="AD260" s="1" t="b">
        <f t="shared" si="87"/>
        <v>0</v>
      </c>
      <c r="AE260" s="1" t="b">
        <f t="shared" si="88"/>
        <v>0</v>
      </c>
      <c r="AF260" s="1" t="str">
        <f>Partidas!W260</f>
        <v>ok</v>
      </c>
      <c r="AG260" s="1" t="str">
        <f>Partidas!AK260</f>
        <v>ok</v>
      </c>
      <c r="AH260" s="1" t="str">
        <f t="shared" si="89"/>
        <v>Fjelstul World Cup Database + FootyStats CSV</v>
      </c>
      <c r="AI260" s="1">
        <f>Partidas!AX260</f>
        <v>0</v>
      </c>
    </row>
    <row r="261" spans="1:35" ht="15" customHeight="1">
      <c r="A261" s="1" t="str">
        <f>Partidas!C261</f>
        <v>M-2022-04</v>
      </c>
      <c r="B261" s="4">
        <f>Partidas!F261</f>
        <v>44886</v>
      </c>
      <c r="C261" s="1">
        <f>Partidas!A261</f>
        <v>2022</v>
      </c>
      <c r="D261" s="1" t="str">
        <f>Partidas!H261</f>
        <v>United States</v>
      </c>
      <c r="E261" s="1" t="str">
        <f>Partidas!I261</f>
        <v>Wales</v>
      </c>
      <c r="F261" s="5">
        <f>Partidas!J261</f>
        <v>1</v>
      </c>
      <c r="G261" s="5">
        <f>Partidas!K261</f>
        <v>1</v>
      </c>
      <c r="H261" s="1" t="str">
        <f>Partidas!M261</f>
        <v>D</v>
      </c>
      <c r="I261" s="5">
        <f t="shared" si="72"/>
        <v>2</v>
      </c>
      <c r="J261" s="1" t="b">
        <f t="shared" si="73"/>
        <v>1</v>
      </c>
      <c r="K261" s="1" t="b">
        <f t="shared" si="74"/>
        <v>0</v>
      </c>
      <c r="L261" s="1" t="b">
        <f t="shared" si="75"/>
        <v>0</v>
      </c>
      <c r="M261" s="1" t="b">
        <f t="shared" si="76"/>
        <v>1</v>
      </c>
      <c r="N261" s="1" t="b">
        <f t="shared" si="77"/>
        <v>1</v>
      </c>
      <c r="O261" s="1" t="b">
        <f t="shared" si="78"/>
        <v>1</v>
      </c>
      <c r="P261" s="1" t="b">
        <f t="shared" si="79"/>
        <v>1</v>
      </c>
      <c r="Q261" s="1" t="b">
        <f t="shared" si="80"/>
        <v>0</v>
      </c>
      <c r="R261" s="1" t="b">
        <f t="shared" si="81"/>
        <v>1</v>
      </c>
      <c r="S261" s="5">
        <f>Partidas!T261</f>
        <v>5</v>
      </c>
      <c r="T261" s="5">
        <f>Partidas!U261</f>
        <v>3</v>
      </c>
      <c r="U261" s="5">
        <f t="shared" si="82"/>
        <v>8</v>
      </c>
      <c r="V261" s="5" t="b">
        <f t="shared" si="83"/>
        <v>0</v>
      </c>
      <c r="W261" s="5" t="b">
        <f t="shared" si="84"/>
        <v>0</v>
      </c>
      <c r="X261" s="5">
        <f>Partidas!X261</f>
        <v>4</v>
      </c>
      <c r="Y261" s="5">
        <f>Partidas!Y261</f>
        <v>2</v>
      </c>
      <c r="Z261" s="5">
        <f>Partidas!AG261</f>
        <v>0</v>
      </c>
      <c r="AA261" s="5">
        <f>Partidas!AH261</f>
        <v>0</v>
      </c>
      <c r="AB261" s="5">
        <f t="shared" si="85"/>
        <v>6</v>
      </c>
      <c r="AC261" s="1" t="b">
        <f t="shared" si="86"/>
        <v>1</v>
      </c>
      <c r="AD261" s="1" t="b">
        <f t="shared" si="87"/>
        <v>1</v>
      </c>
      <c r="AE261" s="1" t="b">
        <f t="shared" si="88"/>
        <v>1</v>
      </c>
      <c r="AF261" s="1" t="str">
        <f>Partidas!W261</f>
        <v>ok</v>
      </c>
      <c r="AG261" s="1" t="str">
        <f>Partidas!AK261</f>
        <v>ok</v>
      </c>
      <c r="AH261" s="1" t="str">
        <f t="shared" si="89"/>
        <v>Fjelstul World Cup Database + FootyStats CSV</v>
      </c>
      <c r="AI261" s="1">
        <f>Partidas!AX261</f>
        <v>0</v>
      </c>
    </row>
    <row r="262" spans="1:35" ht="15" customHeight="1">
      <c r="A262" s="1" t="str">
        <f>Partidas!C262</f>
        <v>M-2022-05</v>
      </c>
      <c r="B262" s="4">
        <f>Partidas!F262</f>
        <v>44887</v>
      </c>
      <c r="C262" s="1">
        <f>Partidas!A262</f>
        <v>2022</v>
      </c>
      <c r="D262" s="1" t="str">
        <f>Partidas!H262</f>
        <v>Argentina</v>
      </c>
      <c r="E262" s="1" t="str">
        <f>Partidas!I262</f>
        <v>Saudi Arabia</v>
      </c>
      <c r="F262" s="5">
        <f>Partidas!J262</f>
        <v>1</v>
      </c>
      <c r="G262" s="5">
        <f>Partidas!K262</f>
        <v>2</v>
      </c>
      <c r="H262" s="1" t="str">
        <f>Partidas!M262</f>
        <v>A</v>
      </c>
      <c r="I262" s="5">
        <f t="shared" si="72"/>
        <v>3</v>
      </c>
      <c r="J262" s="1" t="b">
        <f t="shared" si="73"/>
        <v>1</v>
      </c>
      <c r="K262" s="1" t="b">
        <f t="shared" si="74"/>
        <v>1</v>
      </c>
      <c r="L262" s="1" t="b">
        <f t="shared" si="75"/>
        <v>0</v>
      </c>
      <c r="M262" s="1" t="b">
        <f t="shared" si="76"/>
        <v>0</v>
      </c>
      <c r="N262" s="1" t="b">
        <f t="shared" si="77"/>
        <v>1</v>
      </c>
      <c r="O262" s="1" t="b">
        <f t="shared" si="78"/>
        <v>1</v>
      </c>
      <c r="P262" s="1" t="b">
        <f t="shared" si="79"/>
        <v>0</v>
      </c>
      <c r="Q262" s="1" t="b">
        <f t="shared" si="80"/>
        <v>1</v>
      </c>
      <c r="R262" s="1" t="b">
        <f t="shared" si="81"/>
        <v>1</v>
      </c>
      <c r="S262" s="5">
        <f>Partidas!T262</f>
        <v>9</v>
      </c>
      <c r="T262" s="5">
        <f>Partidas!U262</f>
        <v>2</v>
      </c>
      <c r="U262" s="5">
        <f t="shared" si="82"/>
        <v>11</v>
      </c>
      <c r="V262" s="5" t="b">
        <f t="shared" si="83"/>
        <v>1</v>
      </c>
      <c r="W262" s="5" t="b">
        <f t="shared" si="84"/>
        <v>1</v>
      </c>
      <c r="X262" s="5">
        <f>Partidas!X262</f>
        <v>0</v>
      </c>
      <c r="Y262" s="5">
        <f>Partidas!Y262</f>
        <v>6</v>
      </c>
      <c r="Z262" s="5">
        <f>Partidas!AG262</f>
        <v>0</v>
      </c>
      <c r="AA262" s="5">
        <f>Partidas!AH262</f>
        <v>0</v>
      </c>
      <c r="AB262" s="5">
        <f t="shared" si="85"/>
        <v>6</v>
      </c>
      <c r="AC262" s="1" t="b">
        <f t="shared" si="86"/>
        <v>1</v>
      </c>
      <c r="AD262" s="1" t="b">
        <f t="shared" si="87"/>
        <v>1</v>
      </c>
      <c r="AE262" s="1" t="b">
        <f t="shared" si="88"/>
        <v>1</v>
      </c>
      <c r="AF262" s="1" t="str">
        <f>Partidas!W262</f>
        <v>ok</v>
      </c>
      <c r="AG262" s="1" t="str">
        <f>Partidas!AK262</f>
        <v>ok</v>
      </c>
      <c r="AH262" s="1" t="str">
        <f t="shared" si="89"/>
        <v>Fjelstul World Cup Database + FootyStats CSV</v>
      </c>
      <c r="AI262" s="1">
        <f>Partidas!AX262</f>
        <v>0</v>
      </c>
    </row>
    <row r="263" spans="1:35" ht="15" customHeight="1">
      <c r="A263" s="1" t="str">
        <f>Partidas!C263</f>
        <v>M-2022-06</v>
      </c>
      <c r="B263" s="4">
        <f>Partidas!F263</f>
        <v>44887</v>
      </c>
      <c r="C263" s="1">
        <f>Partidas!A263</f>
        <v>2022</v>
      </c>
      <c r="D263" s="1" t="str">
        <f>Partidas!H263</f>
        <v>Denmark</v>
      </c>
      <c r="E263" s="1" t="str">
        <f>Partidas!I263</f>
        <v>Tunisia</v>
      </c>
      <c r="F263" s="5">
        <f>Partidas!J263</f>
        <v>0</v>
      </c>
      <c r="G263" s="5">
        <f>Partidas!K263</f>
        <v>0</v>
      </c>
      <c r="H263" s="1" t="str">
        <f>Partidas!M263</f>
        <v>D</v>
      </c>
      <c r="I263" s="5">
        <f t="shared" si="72"/>
        <v>0</v>
      </c>
      <c r="J263" s="1" t="b">
        <f t="shared" si="73"/>
        <v>0</v>
      </c>
      <c r="K263" s="1" t="b">
        <f t="shared" si="74"/>
        <v>0</v>
      </c>
      <c r="L263" s="1" t="b">
        <f t="shared" si="75"/>
        <v>0</v>
      </c>
      <c r="M263" s="1" t="b">
        <f t="shared" si="76"/>
        <v>1</v>
      </c>
      <c r="N263" s="1" t="b">
        <f t="shared" si="77"/>
        <v>1</v>
      </c>
      <c r="O263" s="1" t="b">
        <f t="shared" si="78"/>
        <v>0</v>
      </c>
      <c r="P263" s="1" t="b">
        <f t="shared" si="79"/>
        <v>1</v>
      </c>
      <c r="Q263" s="1" t="b">
        <f t="shared" si="80"/>
        <v>0</v>
      </c>
      <c r="R263" s="1" t="b">
        <f t="shared" si="81"/>
        <v>1</v>
      </c>
      <c r="S263" s="5">
        <f>Partidas!T263</f>
        <v>11</v>
      </c>
      <c r="T263" s="5">
        <f>Partidas!U263</f>
        <v>9</v>
      </c>
      <c r="U263" s="5">
        <f t="shared" si="82"/>
        <v>20</v>
      </c>
      <c r="V263" s="5" t="b">
        <f t="shared" si="83"/>
        <v>1</v>
      </c>
      <c r="W263" s="5" t="b">
        <f t="shared" si="84"/>
        <v>1</v>
      </c>
      <c r="X263" s="5">
        <f>Partidas!X263</f>
        <v>2</v>
      </c>
      <c r="Y263" s="5">
        <f>Partidas!Y263</f>
        <v>1</v>
      </c>
      <c r="Z263" s="5">
        <f>Partidas!AG263</f>
        <v>0</v>
      </c>
      <c r="AA263" s="5">
        <f>Partidas!AH263</f>
        <v>0</v>
      </c>
      <c r="AB263" s="5">
        <f t="shared" si="85"/>
        <v>3</v>
      </c>
      <c r="AC263" s="1" t="b">
        <f t="shared" si="86"/>
        <v>0</v>
      </c>
      <c r="AD263" s="1" t="b">
        <f t="shared" si="87"/>
        <v>0</v>
      </c>
      <c r="AE263" s="1" t="b">
        <f t="shared" si="88"/>
        <v>0</v>
      </c>
      <c r="AF263" s="1" t="str">
        <f>Partidas!W263</f>
        <v>ok</v>
      </c>
      <c r="AG263" s="1" t="str">
        <f>Partidas!AK263</f>
        <v>ok</v>
      </c>
      <c r="AH263" s="1" t="str">
        <f t="shared" si="89"/>
        <v>Fjelstul World Cup Database + FootyStats CSV</v>
      </c>
      <c r="AI263" s="1">
        <f>Partidas!AX263</f>
        <v>0</v>
      </c>
    </row>
    <row r="264" spans="1:35" ht="15" customHeight="1">
      <c r="A264" s="1" t="str">
        <f>Partidas!C264</f>
        <v>M-2022-07</v>
      </c>
      <c r="B264" s="4">
        <f>Partidas!F264</f>
        <v>44887</v>
      </c>
      <c r="C264" s="1">
        <f>Partidas!A264</f>
        <v>2022</v>
      </c>
      <c r="D264" s="1" t="str">
        <f>Partidas!H264</f>
        <v>Mexico</v>
      </c>
      <c r="E264" s="1" t="str">
        <f>Partidas!I264</f>
        <v>Poland</v>
      </c>
      <c r="F264" s="5">
        <f>Partidas!J264</f>
        <v>0</v>
      </c>
      <c r="G264" s="5">
        <f>Partidas!K264</f>
        <v>0</v>
      </c>
      <c r="H264" s="1" t="str">
        <f>Partidas!M264</f>
        <v>D</v>
      </c>
      <c r="I264" s="5">
        <f t="shared" si="72"/>
        <v>0</v>
      </c>
      <c r="J264" s="1" t="b">
        <f t="shared" si="73"/>
        <v>0</v>
      </c>
      <c r="K264" s="1" t="b">
        <f t="shared" si="74"/>
        <v>0</v>
      </c>
      <c r="L264" s="1" t="b">
        <f t="shared" si="75"/>
        <v>0</v>
      </c>
      <c r="M264" s="1" t="b">
        <f t="shared" si="76"/>
        <v>1</v>
      </c>
      <c r="N264" s="1" t="b">
        <f t="shared" si="77"/>
        <v>1</v>
      </c>
      <c r="O264" s="1" t="b">
        <f t="shared" si="78"/>
        <v>0</v>
      </c>
      <c r="P264" s="1" t="b">
        <f t="shared" si="79"/>
        <v>1</v>
      </c>
      <c r="Q264" s="1" t="b">
        <f t="shared" si="80"/>
        <v>0</v>
      </c>
      <c r="R264" s="1" t="b">
        <f t="shared" si="81"/>
        <v>1</v>
      </c>
      <c r="S264" s="5">
        <f>Partidas!T264</f>
        <v>6</v>
      </c>
      <c r="T264" s="5">
        <f>Partidas!U264</f>
        <v>5</v>
      </c>
      <c r="U264" s="5">
        <f t="shared" si="82"/>
        <v>11</v>
      </c>
      <c r="V264" s="5" t="b">
        <f t="shared" si="83"/>
        <v>1</v>
      </c>
      <c r="W264" s="5" t="b">
        <f t="shared" si="84"/>
        <v>1</v>
      </c>
      <c r="X264" s="5">
        <f>Partidas!X264</f>
        <v>2</v>
      </c>
      <c r="Y264" s="5">
        <f>Partidas!Y264</f>
        <v>1</v>
      </c>
      <c r="Z264" s="5">
        <f>Partidas!AG264</f>
        <v>0</v>
      </c>
      <c r="AA264" s="5">
        <f>Partidas!AH264</f>
        <v>0</v>
      </c>
      <c r="AB264" s="5">
        <f t="shared" si="85"/>
        <v>3</v>
      </c>
      <c r="AC264" s="1" t="b">
        <f t="shared" si="86"/>
        <v>0</v>
      </c>
      <c r="AD264" s="1" t="b">
        <f t="shared" si="87"/>
        <v>0</v>
      </c>
      <c r="AE264" s="1" t="b">
        <f t="shared" si="88"/>
        <v>0</v>
      </c>
      <c r="AF264" s="1" t="str">
        <f>Partidas!W264</f>
        <v>ok</v>
      </c>
      <c r="AG264" s="1" t="str">
        <f>Partidas!AK264</f>
        <v>ok</v>
      </c>
      <c r="AH264" s="1" t="str">
        <f t="shared" si="89"/>
        <v>Fjelstul World Cup Database + FootyStats CSV</v>
      </c>
      <c r="AI264" s="1">
        <f>Partidas!AX264</f>
        <v>0</v>
      </c>
    </row>
    <row r="265" spans="1:35" ht="15" customHeight="1">
      <c r="A265" s="1" t="str">
        <f>Partidas!C265</f>
        <v>M-2022-08</v>
      </c>
      <c r="B265" s="4">
        <f>Partidas!F265</f>
        <v>44887</v>
      </c>
      <c r="C265" s="1">
        <f>Partidas!A265</f>
        <v>2022</v>
      </c>
      <c r="D265" s="1" t="str">
        <f>Partidas!H265</f>
        <v>France</v>
      </c>
      <c r="E265" s="1" t="str">
        <f>Partidas!I265</f>
        <v>Australia</v>
      </c>
      <c r="F265" s="5">
        <f>Partidas!J265</f>
        <v>4</v>
      </c>
      <c r="G265" s="5">
        <f>Partidas!K265</f>
        <v>1</v>
      </c>
      <c r="H265" s="1" t="str">
        <f>Partidas!M265</f>
        <v>H</v>
      </c>
      <c r="I265" s="5">
        <f t="shared" si="72"/>
        <v>5</v>
      </c>
      <c r="J265" s="1" t="b">
        <f t="shared" si="73"/>
        <v>1</v>
      </c>
      <c r="K265" s="1" t="b">
        <f t="shared" si="74"/>
        <v>1</v>
      </c>
      <c r="L265" s="1" t="b">
        <f t="shared" si="75"/>
        <v>1</v>
      </c>
      <c r="M265" s="1" t="b">
        <f t="shared" si="76"/>
        <v>0</v>
      </c>
      <c r="N265" s="1" t="b">
        <f t="shared" si="77"/>
        <v>0</v>
      </c>
      <c r="O265" s="1" t="b">
        <f t="shared" si="78"/>
        <v>1</v>
      </c>
      <c r="P265" s="1" t="b">
        <f t="shared" si="79"/>
        <v>1</v>
      </c>
      <c r="Q265" s="1" t="b">
        <f t="shared" si="80"/>
        <v>1</v>
      </c>
      <c r="R265" s="1" t="b">
        <f t="shared" si="81"/>
        <v>0</v>
      </c>
      <c r="S265" s="5">
        <f>Partidas!T265</f>
        <v>8</v>
      </c>
      <c r="T265" s="5">
        <f>Partidas!U265</f>
        <v>1</v>
      </c>
      <c r="U265" s="5">
        <f t="shared" si="82"/>
        <v>9</v>
      </c>
      <c r="V265" s="5" t="b">
        <f t="shared" si="83"/>
        <v>1</v>
      </c>
      <c r="W265" s="5" t="b">
        <f t="shared" si="84"/>
        <v>0</v>
      </c>
      <c r="X265" s="5">
        <f>Partidas!X265</f>
        <v>0</v>
      </c>
      <c r="Y265" s="5">
        <f>Partidas!Y265</f>
        <v>3</v>
      </c>
      <c r="Z265" s="5">
        <f>Partidas!AG265</f>
        <v>0</v>
      </c>
      <c r="AA265" s="5">
        <f>Partidas!AH265</f>
        <v>0</v>
      </c>
      <c r="AB265" s="5">
        <f t="shared" si="85"/>
        <v>3</v>
      </c>
      <c r="AC265" s="1" t="b">
        <f t="shared" si="86"/>
        <v>0</v>
      </c>
      <c r="AD265" s="1" t="b">
        <f t="shared" si="87"/>
        <v>0</v>
      </c>
      <c r="AE265" s="1" t="b">
        <f t="shared" si="88"/>
        <v>0</v>
      </c>
      <c r="AF265" s="1" t="str">
        <f>Partidas!W265</f>
        <v>ok</v>
      </c>
      <c r="AG265" s="1" t="str">
        <f>Partidas!AK265</f>
        <v>ok</v>
      </c>
      <c r="AH265" s="1" t="str">
        <f t="shared" si="89"/>
        <v>Fjelstul World Cup Database + FootyStats CSV</v>
      </c>
      <c r="AI265" s="1">
        <f>Partidas!AX265</f>
        <v>0</v>
      </c>
    </row>
    <row r="266" spans="1:35" ht="15" customHeight="1">
      <c r="A266" s="1" t="str">
        <f>Partidas!C266</f>
        <v>M-2022-09</v>
      </c>
      <c r="B266" s="4">
        <f>Partidas!F266</f>
        <v>44888</v>
      </c>
      <c r="C266" s="1">
        <f>Partidas!A266</f>
        <v>2022</v>
      </c>
      <c r="D266" s="1" t="str">
        <f>Partidas!H266</f>
        <v>Morocco</v>
      </c>
      <c r="E266" s="1" t="str">
        <f>Partidas!I266</f>
        <v>Croatia</v>
      </c>
      <c r="F266" s="5">
        <f>Partidas!J266</f>
        <v>0</v>
      </c>
      <c r="G266" s="5">
        <f>Partidas!K266</f>
        <v>0</v>
      </c>
      <c r="H266" s="1" t="str">
        <f>Partidas!M266</f>
        <v>D</v>
      </c>
      <c r="I266" s="5">
        <f t="shared" si="72"/>
        <v>0</v>
      </c>
      <c r="J266" s="1" t="b">
        <f t="shared" si="73"/>
        <v>0</v>
      </c>
      <c r="K266" s="1" t="b">
        <f t="shared" si="74"/>
        <v>0</v>
      </c>
      <c r="L266" s="1" t="b">
        <f t="shared" si="75"/>
        <v>0</v>
      </c>
      <c r="M266" s="1" t="b">
        <f t="shared" si="76"/>
        <v>1</v>
      </c>
      <c r="N266" s="1" t="b">
        <f t="shared" si="77"/>
        <v>1</v>
      </c>
      <c r="O266" s="1" t="b">
        <f t="shared" si="78"/>
        <v>0</v>
      </c>
      <c r="P266" s="1" t="b">
        <f t="shared" si="79"/>
        <v>1</v>
      </c>
      <c r="Q266" s="1" t="b">
        <f t="shared" si="80"/>
        <v>0</v>
      </c>
      <c r="R266" s="1" t="b">
        <f t="shared" si="81"/>
        <v>1</v>
      </c>
      <c r="S266" s="5">
        <f>Partidas!T266</f>
        <v>0</v>
      </c>
      <c r="T266" s="5">
        <f>Partidas!U266</f>
        <v>5</v>
      </c>
      <c r="U266" s="5">
        <f t="shared" si="82"/>
        <v>5</v>
      </c>
      <c r="V266" s="5" t="b">
        <f t="shared" si="83"/>
        <v>0</v>
      </c>
      <c r="W266" s="5" t="b">
        <f t="shared" si="84"/>
        <v>0</v>
      </c>
      <c r="X266" s="5">
        <f>Partidas!X266</f>
        <v>1</v>
      </c>
      <c r="Y266" s="5">
        <f>Partidas!Y266</f>
        <v>0</v>
      </c>
      <c r="Z266" s="5">
        <f>Partidas!AG266</f>
        <v>0</v>
      </c>
      <c r="AA266" s="5">
        <f>Partidas!AH266</f>
        <v>0</v>
      </c>
      <c r="AB266" s="5">
        <f t="shared" si="85"/>
        <v>1</v>
      </c>
      <c r="AC266" s="1" t="b">
        <f t="shared" si="86"/>
        <v>0</v>
      </c>
      <c r="AD266" s="1" t="b">
        <f t="shared" si="87"/>
        <v>0</v>
      </c>
      <c r="AE266" s="1" t="b">
        <f t="shared" si="88"/>
        <v>0</v>
      </c>
      <c r="AF266" s="1" t="str">
        <f>Partidas!W266</f>
        <v>ok</v>
      </c>
      <c r="AG266" s="1" t="str">
        <f>Partidas!AK266</f>
        <v>ok</v>
      </c>
      <c r="AH266" s="1" t="str">
        <f t="shared" si="89"/>
        <v>Fjelstul World Cup Database + FootyStats CSV</v>
      </c>
      <c r="AI266" s="1">
        <f>Partidas!AX266</f>
        <v>0</v>
      </c>
    </row>
    <row r="267" spans="1:35" ht="15" customHeight="1">
      <c r="A267" s="1" t="str">
        <f>Partidas!C267</f>
        <v>M-2022-10</v>
      </c>
      <c r="B267" s="4">
        <f>Partidas!F267</f>
        <v>44888</v>
      </c>
      <c r="C267" s="1">
        <f>Partidas!A267</f>
        <v>2022</v>
      </c>
      <c r="D267" s="1" t="str">
        <f>Partidas!H267</f>
        <v>Germany</v>
      </c>
      <c r="E267" s="1" t="str">
        <f>Partidas!I267</f>
        <v>Japan</v>
      </c>
      <c r="F267" s="5">
        <f>Partidas!J267</f>
        <v>1</v>
      </c>
      <c r="G267" s="5">
        <f>Partidas!K267</f>
        <v>2</v>
      </c>
      <c r="H267" s="1" t="str">
        <f>Partidas!M267</f>
        <v>A</v>
      </c>
      <c r="I267" s="5">
        <f t="shared" si="72"/>
        <v>3</v>
      </c>
      <c r="J267" s="1" t="b">
        <f t="shared" si="73"/>
        <v>1</v>
      </c>
      <c r="K267" s="1" t="b">
        <f t="shared" si="74"/>
        <v>1</v>
      </c>
      <c r="L267" s="1" t="b">
        <f t="shared" si="75"/>
        <v>0</v>
      </c>
      <c r="M267" s="1" t="b">
        <f t="shared" si="76"/>
        <v>0</v>
      </c>
      <c r="N267" s="1" t="b">
        <f t="shared" si="77"/>
        <v>1</v>
      </c>
      <c r="O267" s="1" t="b">
        <f t="shared" si="78"/>
        <v>1</v>
      </c>
      <c r="P267" s="1" t="b">
        <f t="shared" si="79"/>
        <v>0</v>
      </c>
      <c r="Q267" s="1" t="b">
        <f t="shared" si="80"/>
        <v>1</v>
      </c>
      <c r="R267" s="1" t="b">
        <f t="shared" si="81"/>
        <v>1</v>
      </c>
      <c r="S267" s="5">
        <f>Partidas!T267</f>
        <v>6</v>
      </c>
      <c r="T267" s="5">
        <f>Partidas!U267</f>
        <v>6</v>
      </c>
      <c r="U267" s="5">
        <f t="shared" si="82"/>
        <v>12</v>
      </c>
      <c r="V267" s="5" t="b">
        <f t="shared" si="83"/>
        <v>1</v>
      </c>
      <c r="W267" s="5" t="b">
        <f t="shared" si="84"/>
        <v>1</v>
      </c>
      <c r="X267" s="5">
        <f>Partidas!X267</f>
        <v>0</v>
      </c>
      <c r="Y267" s="5">
        <f>Partidas!Y267</f>
        <v>0</v>
      </c>
      <c r="Z267" s="5">
        <f>Partidas!AG267</f>
        <v>0</v>
      </c>
      <c r="AA267" s="5">
        <f>Partidas!AH267</f>
        <v>0</v>
      </c>
      <c r="AB267" s="5">
        <f t="shared" si="85"/>
        <v>0</v>
      </c>
      <c r="AC267" s="1" t="b">
        <f t="shared" si="86"/>
        <v>0</v>
      </c>
      <c r="AD267" s="1" t="b">
        <f t="shared" si="87"/>
        <v>0</v>
      </c>
      <c r="AE267" s="1" t="b">
        <f t="shared" si="88"/>
        <v>0</v>
      </c>
      <c r="AF267" s="1" t="str">
        <f>Partidas!W267</f>
        <v>ok</v>
      </c>
      <c r="AG267" s="1" t="str">
        <f>Partidas!AK267</f>
        <v>ok</v>
      </c>
      <c r="AH267" s="1" t="str">
        <f t="shared" si="89"/>
        <v>Fjelstul World Cup Database + FootyStats CSV</v>
      </c>
      <c r="AI267" s="1">
        <f>Partidas!AX267</f>
        <v>0</v>
      </c>
    </row>
    <row r="268" spans="1:35" ht="15" customHeight="1">
      <c r="A268" s="1" t="str">
        <f>Partidas!C268</f>
        <v>M-2022-11</v>
      </c>
      <c r="B268" s="4">
        <f>Partidas!F268</f>
        <v>44888</v>
      </c>
      <c r="C268" s="1">
        <f>Partidas!A268</f>
        <v>2022</v>
      </c>
      <c r="D268" s="1" t="str">
        <f>Partidas!H268</f>
        <v>Spain</v>
      </c>
      <c r="E268" s="1" t="str">
        <f>Partidas!I268</f>
        <v>Costa Rica</v>
      </c>
      <c r="F268" s="5">
        <f>Partidas!J268</f>
        <v>7</v>
      </c>
      <c r="G268" s="5">
        <f>Partidas!K268</f>
        <v>0</v>
      </c>
      <c r="H268" s="1" t="str">
        <f>Partidas!M268</f>
        <v>H</v>
      </c>
      <c r="I268" s="5">
        <f t="shared" si="72"/>
        <v>7</v>
      </c>
      <c r="J268" s="1" t="b">
        <f t="shared" si="73"/>
        <v>1</v>
      </c>
      <c r="K268" s="1" t="b">
        <f t="shared" si="74"/>
        <v>1</v>
      </c>
      <c r="L268" s="1" t="b">
        <f t="shared" si="75"/>
        <v>1</v>
      </c>
      <c r="M268" s="1" t="b">
        <f t="shared" si="76"/>
        <v>0</v>
      </c>
      <c r="N268" s="1" t="b">
        <f t="shared" si="77"/>
        <v>0</v>
      </c>
      <c r="O268" s="1" t="b">
        <f t="shared" si="78"/>
        <v>0</v>
      </c>
      <c r="P268" s="1" t="b">
        <f t="shared" si="79"/>
        <v>1</v>
      </c>
      <c r="Q268" s="1" t="b">
        <f t="shared" si="80"/>
        <v>1</v>
      </c>
      <c r="R268" s="1" t="b">
        <f t="shared" si="81"/>
        <v>0</v>
      </c>
      <c r="S268" s="5">
        <f>Partidas!T268</f>
        <v>5</v>
      </c>
      <c r="T268" s="5">
        <f>Partidas!U268</f>
        <v>0</v>
      </c>
      <c r="U268" s="5">
        <f t="shared" si="82"/>
        <v>5</v>
      </c>
      <c r="V268" s="5" t="b">
        <f t="shared" si="83"/>
        <v>0</v>
      </c>
      <c r="W268" s="5" t="b">
        <f t="shared" si="84"/>
        <v>0</v>
      </c>
      <c r="X268" s="5">
        <f>Partidas!X268</f>
        <v>0</v>
      </c>
      <c r="Y268" s="5">
        <f>Partidas!Y268</f>
        <v>2</v>
      </c>
      <c r="Z268" s="5">
        <f>Partidas!AG268</f>
        <v>0</v>
      </c>
      <c r="AA268" s="5">
        <f>Partidas!AH268</f>
        <v>0</v>
      </c>
      <c r="AB268" s="5">
        <f t="shared" si="85"/>
        <v>2</v>
      </c>
      <c r="AC268" s="1" t="b">
        <f t="shared" si="86"/>
        <v>0</v>
      </c>
      <c r="AD268" s="1" t="b">
        <f t="shared" si="87"/>
        <v>0</v>
      </c>
      <c r="AE268" s="1" t="b">
        <f t="shared" si="88"/>
        <v>0</v>
      </c>
      <c r="AF268" s="1" t="str">
        <f>Partidas!W268</f>
        <v>ok</v>
      </c>
      <c r="AG268" s="1" t="str">
        <f>Partidas!AK268</f>
        <v>ok</v>
      </c>
      <c r="AH268" s="1" t="str">
        <f t="shared" si="89"/>
        <v>Fjelstul World Cup Database + FootyStats CSV</v>
      </c>
      <c r="AI268" s="1">
        <f>Partidas!AX268</f>
        <v>0</v>
      </c>
    </row>
    <row r="269" spans="1:35" ht="15" customHeight="1">
      <c r="A269" s="1" t="str">
        <f>Partidas!C269</f>
        <v>M-2022-12</v>
      </c>
      <c r="B269" s="4">
        <f>Partidas!F269</f>
        <v>44888</v>
      </c>
      <c r="C269" s="1">
        <f>Partidas!A269</f>
        <v>2022</v>
      </c>
      <c r="D269" s="1" t="str">
        <f>Partidas!H269</f>
        <v>Belgium</v>
      </c>
      <c r="E269" s="1" t="str">
        <f>Partidas!I269</f>
        <v>Canada</v>
      </c>
      <c r="F269" s="5">
        <f>Partidas!J269</f>
        <v>1</v>
      </c>
      <c r="G269" s="5">
        <f>Partidas!K269</f>
        <v>0</v>
      </c>
      <c r="H269" s="1" t="str">
        <f>Partidas!M269</f>
        <v>H</v>
      </c>
      <c r="I269" s="5">
        <f t="shared" si="72"/>
        <v>1</v>
      </c>
      <c r="J269" s="1" t="b">
        <f t="shared" si="73"/>
        <v>0</v>
      </c>
      <c r="K269" s="1" t="b">
        <f t="shared" si="74"/>
        <v>0</v>
      </c>
      <c r="L269" s="1" t="b">
        <f t="shared" si="75"/>
        <v>0</v>
      </c>
      <c r="M269" s="1" t="b">
        <f t="shared" si="76"/>
        <v>1</v>
      </c>
      <c r="N269" s="1" t="b">
        <f t="shared" si="77"/>
        <v>1</v>
      </c>
      <c r="O269" s="1" t="b">
        <f t="shared" si="78"/>
        <v>0</v>
      </c>
      <c r="P269" s="1" t="b">
        <f t="shared" si="79"/>
        <v>1</v>
      </c>
      <c r="Q269" s="1" t="b">
        <f t="shared" si="80"/>
        <v>1</v>
      </c>
      <c r="R269" s="1" t="b">
        <f t="shared" si="81"/>
        <v>0</v>
      </c>
      <c r="S269" s="5">
        <f>Partidas!T269</f>
        <v>4</v>
      </c>
      <c r="T269" s="5">
        <f>Partidas!U269</f>
        <v>4</v>
      </c>
      <c r="U269" s="5">
        <f t="shared" si="82"/>
        <v>8</v>
      </c>
      <c r="V269" s="5" t="b">
        <f t="shared" si="83"/>
        <v>0</v>
      </c>
      <c r="W269" s="5" t="b">
        <f t="shared" si="84"/>
        <v>0</v>
      </c>
      <c r="X269" s="5">
        <f>Partidas!X269</f>
        <v>3</v>
      </c>
      <c r="Y269" s="5">
        <f>Partidas!Y269</f>
        <v>2</v>
      </c>
      <c r="Z269" s="5">
        <f>Partidas!AG269</f>
        <v>0</v>
      </c>
      <c r="AA269" s="5">
        <f>Partidas!AH269</f>
        <v>0</v>
      </c>
      <c r="AB269" s="5">
        <f t="shared" si="85"/>
        <v>5</v>
      </c>
      <c r="AC269" s="1" t="b">
        <f t="shared" si="86"/>
        <v>1</v>
      </c>
      <c r="AD269" s="1" t="b">
        <f t="shared" si="87"/>
        <v>1</v>
      </c>
      <c r="AE269" s="1" t="b">
        <f t="shared" si="88"/>
        <v>0</v>
      </c>
      <c r="AF269" s="1" t="str">
        <f>Partidas!W269</f>
        <v>ok</v>
      </c>
      <c r="AG269" s="1" t="str">
        <f>Partidas!AK269</f>
        <v>ok</v>
      </c>
      <c r="AH269" s="1" t="str">
        <f t="shared" si="89"/>
        <v>Fjelstul World Cup Database + FootyStats CSV</v>
      </c>
      <c r="AI269" s="1">
        <f>Partidas!AX269</f>
        <v>0</v>
      </c>
    </row>
    <row r="270" spans="1:35" ht="15" customHeight="1">
      <c r="A270" s="1" t="str">
        <f>Partidas!C270</f>
        <v>M-2022-13</v>
      </c>
      <c r="B270" s="4">
        <f>Partidas!F270</f>
        <v>44889</v>
      </c>
      <c r="C270" s="1">
        <f>Partidas!A270</f>
        <v>2022</v>
      </c>
      <c r="D270" s="1" t="str">
        <f>Partidas!H270</f>
        <v>Switzerland</v>
      </c>
      <c r="E270" s="1" t="str">
        <f>Partidas!I270</f>
        <v>Cameroon</v>
      </c>
      <c r="F270" s="5">
        <f>Partidas!J270</f>
        <v>1</v>
      </c>
      <c r="G270" s="5">
        <f>Partidas!K270</f>
        <v>0</v>
      </c>
      <c r="H270" s="1" t="str">
        <f>Partidas!M270</f>
        <v>H</v>
      </c>
      <c r="I270" s="5">
        <f t="shared" si="72"/>
        <v>1</v>
      </c>
      <c r="J270" s="1" t="b">
        <f t="shared" si="73"/>
        <v>0</v>
      </c>
      <c r="K270" s="1" t="b">
        <f t="shared" si="74"/>
        <v>0</v>
      </c>
      <c r="L270" s="1" t="b">
        <f t="shared" si="75"/>
        <v>0</v>
      </c>
      <c r="M270" s="1" t="b">
        <f t="shared" si="76"/>
        <v>1</v>
      </c>
      <c r="N270" s="1" t="b">
        <f t="shared" si="77"/>
        <v>1</v>
      </c>
      <c r="O270" s="1" t="b">
        <f t="shared" si="78"/>
        <v>0</v>
      </c>
      <c r="P270" s="1" t="b">
        <f t="shared" si="79"/>
        <v>1</v>
      </c>
      <c r="Q270" s="1" t="b">
        <f t="shared" si="80"/>
        <v>1</v>
      </c>
      <c r="R270" s="1" t="b">
        <f t="shared" si="81"/>
        <v>0</v>
      </c>
      <c r="S270" s="5">
        <f>Partidas!T270</f>
        <v>11</v>
      </c>
      <c r="T270" s="5">
        <f>Partidas!U270</f>
        <v>5</v>
      </c>
      <c r="U270" s="5">
        <f t="shared" si="82"/>
        <v>16</v>
      </c>
      <c r="V270" s="5" t="b">
        <f t="shared" si="83"/>
        <v>1</v>
      </c>
      <c r="W270" s="5" t="b">
        <f t="shared" si="84"/>
        <v>1</v>
      </c>
      <c r="X270" s="5">
        <f>Partidas!X270</f>
        <v>2</v>
      </c>
      <c r="Y270" s="5">
        <f>Partidas!Y270</f>
        <v>1</v>
      </c>
      <c r="Z270" s="5">
        <f>Partidas!AG270</f>
        <v>0</v>
      </c>
      <c r="AA270" s="5">
        <f>Partidas!AH270</f>
        <v>0</v>
      </c>
      <c r="AB270" s="5">
        <f t="shared" si="85"/>
        <v>3</v>
      </c>
      <c r="AC270" s="1" t="b">
        <f t="shared" si="86"/>
        <v>0</v>
      </c>
      <c r="AD270" s="1" t="b">
        <f t="shared" si="87"/>
        <v>0</v>
      </c>
      <c r="AE270" s="1" t="b">
        <f t="shared" si="88"/>
        <v>0</v>
      </c>
      <c r="AF270" s="1" t="str">
        <f>Partidas!W270</f>
        <v>ok</v>
      </c>
      <c r="AG270" s="1" t="str">
        <f>Partidas!AK270</f>
        <v>ok</v>
      </c>
      <c r="AH270" s="1" t="str">
        <f t="shared" si="89"/>
        <v>Fjelstul World Cup Database + FootyStats CSV</v>
      </c>
      <c r="AI270" s="1">
        <f>Partidas!AX270</f>
        <v>0</v>
      </c>
    </row>
    <row r="271" spans="1:35" ht="15" customHeight="1">
      <c r="A271" s="1" t="str">
        <f>Partidas!C271</f>
        <v>M-2022-14</v>
      </c>
      <c r="B271" s="4">
        <f>Partidas!F271</f>
        <v>44889</v>
      </c>
      <c r="C271" s="1">
        <f>Partidas!A271</f>
        <v>2022</v>
      </c>
      <c r="D271" s="1" t="str">
        <f>Partidas!H271</f>
        <v>Uruguay</v>
      </c>
      <c r="E271" s="1" t="str">
        <f>Partidas!I271</f>
        <v>South Korea</v>
      </c>
      <c r="F271" s="5">
        <f>Partidas!J271</f>
        <v>0</v>
      </c>
      <c r="G271" s="5">
        <f>Partidas!K271</f>
        <v>0</v>
      </c>
      <c r="H271" s="1" t="str">
        <f>Partidas!M271</f>
        <v>D</v>
      </c>
      <c r="I271" s="5">
        <f t="shared" si="72"/>
        <v>0</v>
      </c>
      <c r="J271" s="1" t="b">
        <f t="shared" si="73"/>
        <v>0</v>
      </c>
      <c r="K271" s="1" t="b">
        <f t="shared" si="74"/>
        <v>0</v>
      </c>
      <c r="L271" s="1" t="b">
        <f t="shared" si="75"/>
        <v>0</v>
      </c>
      <c r="M271" s="1" t="b">
        <f t="shared" si="76"/>
        <v>1</v>
      </c>
      <c r="N271" s="1" t="b">
        <f t="shared" si="77"/>
        <v>1</v>
      </c>
      <c r="O271" s="1" t="b">
        <f t="shared" si="78"/>
        <v>0</v>
      </c>
      <c r="P271" s="1" t="b">
        <f t="shared" si="79"/>
        <v>1</v>
      </c>
      <c r="Q271" s="1" t="b">
        <f t="shared" si="80"/>
        <v>0</v>
      </c>
      <c r="R271" s="1" t="b">
        <f t="shared" si="81"/>
        <v>1</v>
      </c>
      <c r="S271" s="5">
        <f>Partidas!T271</f>
        <v>4</v>
      </c>
      <c r="T271" s="5">
        <f>Partidas!U271</f>
        <v>3</v>
      </c>
      <c r="U271" s="5">
        <f t="shared" si="82"/>
        <v>7</v>
      </c>
      <c r="V271" s="5" t="b">
        <f t="shared" si="83"/>
        <v>0</v>
      </c>
      <c r="W271" s="5" t="b">
        <f t="shared" si="84"/>
        <v>0</v>
      </c>
      <c r="X271" s="5">
        <f>Partidas!X271</f>
        <v>1</v>
      </c>
      <c r="Y271" s="5">
        <f>Partidas!Y271</f>
        <v>1</v>
      </c>
      <c r="Z271" s="5">
        <f>Partidas!AG271</f>
        <v>0</v>
      </c>
      <c r="AA271" s="5">
        <f>Partidas!AH271</f>
        <v>0</v>
      </c>
      <c r="AB271" s="5">
        <f t="shared" si="85"/>
        <v>2</v>
      </c>
      <c r="AC271" s="1" t="b">
        <f t="shared" si="86"/>
        <v>0</v>
      </c>
      <c r="AD271" s="1" t="b">
        <f t="shared" si="87"/>
        <v>0</v>
      </c>
      <c r="AE271" s="1" t="b">
        <f t="shared" si="88"/>
        <v>0</v>
      </c>
      <c r="AF271" s="1" t="str">
        <f>Partidas!W271</f>
        <v>ok</v>
      </c>
      <c r="AG271" s="1" t="str">
        <f>Partidas!AK271</f>
        <v>ok</v>
      </c>
      <c r="AH271" s="1" t="str">
        <f t="shared" si="89"/>
        <v>Fjelstul World Cup Database + FootyStats CSV</v>
      </c>
      <c r="AI271" s="1">
        <f>Partidas!AX271</f>
        <v>0</v>
      </c>
    </row>
    <row r="272" spans="1:35" ht="15" customHeight="1">
      <c r="A272" s="1" t="str">
        <f>Partidas!C272</f>
        <v>M-2022-15</v>
      </c>
      <c r="B272" s="4">
        <f>Partidas!F272</f>
        <v>44889</v>
      </c>
      <c r="C272" s="1">
        <f>Partidas!A272</f>
        <v>2022</v>
      </c>
      <c r="D272" s="1" t="str">
        <f>Partidas!H272</f>
        <v>Portugal</v>
      </c>
      <c r="E272" s="1" t="str">
        <f>Partidas!I272</f>
        <v>Ghana</v>
      </c>
      <c r="F272" s="5">
        <f>Partidas!J272</f>
        <v>3</v>
      </c>
      <c r="G272" s="5">
        <f>Partidas!K272</f>
        <v>2</v>
      </c>
      <c r="H272" s="1" t="str">
        <f>Partidas!M272</f>
        <v>H</v>
      </c>
      <c r="I272" s="5">
        <f t="shared" si="72"/>
        <v>5</v>
      </c>
      <c r="J272" s="1" t="b">
        <f t="shared" si="73"/>
        <v>1</v>
      </c>
      <c r="K272" s="1" t="b">
        <f t="shared" si="74"/>
        <v>1</v>
      </c>
      <c r="L272" s="1" t="b">
        <f t="shared" si="75"/>
        <v>1</v>
      </c>
      <c r="M272" s="1" t="b">
        <f t="shared" si="76"/>
        <v>0</v>
      </c>
      <c r="N272" s="1" t="b">
        <f t="shared" si="77"/>
        <v>0</v>
      </c>
      <c r="O272" s="1" t="b">
        <f t="shared" si="78"/>
        <v>1</v>
      </c>
      <c r="P272" s="1" t="b">
        <f t="shared" si="79"/>
        <v>1</v>
      </c>
      <c r="Q272" s="1" t="b">
        <f t="shared" si="80"/>
        <v>1</v>
      </c>
      <c r="R272" s="1" t="b">
        <f t="shared" si="81"/>
        <v>0</v>
      </c>
      <c r="S272" s="5">
        <f>Partidas!T272</f>
        <v>3</v>
      </c>
      <c r="T272" s="5">
        <f>Partidas!U272</f>
        <v>3</v>
      </c>
      <c r="U272" s="5">
        <f t="shared" si="82"/>
        <v>6</v>
      </c>
      <c r="V272" s="5" t="b">
        <f t="shared" si="83"/>
        <v>0</v>
      </c>
      <c r="W272" s="5" t="b">
        <f t="shared" si="84"/>
        <v>0</v>
      </c>
      <c r="X272" s="5">
        <f>Partidas!X272</f>
        <v>2</v>
      </c>
      <c r="Y272" s="5">
        <f>Partidas!Y272</f>
        <v>4</v>
      </c>
      <c r="Z272" s="5">
        <f>Partidas!AG272</f>
        <v>0</v>
      </c>
      <c r="AA272" s="5">
        <f>Partidas!AH272</f>
        <v>0</v>
      </c>
      <c r="AB272" s="5">
        <f t="shared" si="85"/>
        <v>6</v>
      </c>
      <c r="AC272" s="1" t="b">
        <f t="shared" si="86"/>
        <v>1</v>
      </c>
      <c r="AD272" s="1" t="b">
        <f t="shared" si="87"/>
        <v>1</v>
      </c>
      <c r="AE272" s="1" t="b">
        <f t="shared" si="88"/>
        <v>1</v>
      </c>
      <c r="AF272" s="1" t="str">
        <f>Partidas!W272</f>
        <v>ok</v>
      </c>
      <c r="AG272" s="1" t="str">
        <f>Partidas!AK272</f>
        <v>ok</v>
      </c>
      <c r="AH272" s="1" t="str">
        <f t="shared" si="89"/>
        <v>Fjelstul World Cup Database + FootyStats CSV</v>
      </c>
      <c r="AI272" s="1">
        <f>Partidas!AX272</f>
        <v>0</v>
      </c>
    </row>
    <row r="273" spans="1:35" ht="15" customHeight="1">
      <c r="A273" s="1" t="str">
        <f>Partidas!C273</f>
        <v>M-2022-16</v>
      </c>
      <c r="B273" s="4">
        <f>Partidas!F273</f>
        <v>44889</v>
      </c>
      <c r="C273" s="1">
        <f>Partidas!A273</f>
        <v>2022</v>
      </c>
      <c r="D273" s="1" t="str">
        <f>Partidas!H273</f>
        <v>Brazil</v>
      </c>
      <c r="E273" s="1" t="str">
        <f>Partidas!I273</f>
        <v>Serbia</v>
      </c>
      <c r="F273" s="5">
        <f>Partidas!J273</f>
        <v>2</v>
      </c>
      <c r="G273" s="5">
        <f>Partidas!K273</f>
        <v>0</v>
      </c>
      <c r="H273" s="1" t="str">
        <f>Partidas!M273</f>
        <v>H</v>
      </c>
      <c r="I273" s="5">
        <f t="shared" si="72"/>
        <v>2</v>
      </c>
      <c r="J273" s="1" t="b">
        <f t="shared" si="73"/>
        <v>1</v>
      </c>
      <c r="K273" s="1" t="b">
        <f t="shared" si="74"/>
        <v>0</v>
      </c>
      <c r="L273" s="1" t="b">
        <f t="shared" si="75"/>
        <v>0</v>
      </c>
      <c r="M273" s="1" t="b">
        <f t="shared" si="76"/>
        <v>1</v>
      </c>
      <c r="N273" s="1" t="b">
        <f t="shared" si="77"/>
        <v>1</v>
      </c>
      <c r="O273" s="1" t="b">
        <f t="shared" si="78"/>
        <v>0</v>
      </c>
      <c r="P273" s="1" t="b">
        <f t="shared" si="79"/>
        <v>1</v>
      </c>
      <c r="Q273" s="1" t="b">
        <f t="shared" si="80"/>
        <v>1</v>
      </c>
      <c r="R273" s="1" t="b">
        <f t="shared" si="81"/>
        <v>0</v>
      </c>
      <c r="S273" s="5">
        <f>Partidas!T273</f>
        <v>6</v>
      </c>
      <c r="T273" s="5">
        <f>Partidas!U273</f>
        <v>4</v>
      </c>
      <c r="U273" s="5">
        <f t="shared" si="82"/>
        <v>10</v>
      </c>
      <c r="V273" s="5" t="b">
        <f t="shared" si="83"/>
        <v>1</v>
      </c>
      <c r="W273" s="5" t="b">
        <f t="shared" si="84"/>
        <v>1</v>
      </c>
      <c r="X273" s="5">
        <f>Partidas!X273</f>
        <v>0</v>
      </c>
      <c r="Y273" s="5">
        <f>Partidas!Y273</f>
        <v>3</v>
      </c>
      <c r="Z273" s="5">
        <f>Partidas!AG273</f>
        <v>0</v>
      </c>
      <c r="AA273" s="5">
        <f>Partidas!AH273</f>
        <v>0</v>
      </c>
      <c r="AB273" s="5">
        <f t="shared" si="85"/>
        <v>3</v>
      </c>
      <c r="AC273" s="1" t="b">
        <f t="shared" si="86"/>
        <v>0</v>
      </c>
      <c r="AD273" s="1" t="b">
        <f t="shared" si="87"/>
        <v>0</v>
      </c>
      <c r="AE273" s="1" t="b">
        <f t="shared" si="88"/>
        <v>0</v>
      </c>
      <c r="AF273" s="1" t="str">
        <f>Partidas!W273</f>
        <v>ok</v>
      </c>
      <c r="AG273" s="1" t="str">
        <f>Partidas!AK273</f>
        <v>ok</v>
      </c>
      <c r="AH273" s="1" t="str">
        <f t="shared" si="89"/>
        <v>Fjelstul World Cup Database + FootyStats CSV</v>
      </c>
      <c r="AI273" s="1">
        <f>Partidas!AX273</f>
        <v>0</v>
      </c>
    </row>
    <row r="274" spans="1:35" ht="15" customHeight="1">
      <c r="A274" s="1" t="str">
        <f>Partidas!C274</f>
        <v>M-2022-17</v>
      </c>
      <c r="B274" s="4">
        <f>Partidas!F274</f>
        <v>44890</v>
      </c>
      <c r="C274" s="1">
        <f>Partidas!A274</f>
        <v>2022</v>
      </c>
      <c r="D274" s="1" t="str">
        <f>Partidas!H274</f>
        <v>Wales</v>
      </c>
      <c r="E274" s="1" t="str">
        <f>Partidas!I274</f>
        <v>Iran</v>
      </c>
      <c r="F274" s="5">
        <f>Partidas!J274</f>
        <v>0</v>
      </c>
      <c r="G274" s="5">
        <f>Partidas!K274</f>
        <v>2</v>
      </c>
      <c r="H274" s="1" t="str">
        <f>Partidas!M274</f>
        <v>A</v>
      </c>
      <c r="I274" s="5">
        <f t="shared" si="72"/>
        <v>2</v>
      </c>
      <c r="J274" s="1" t="b">
        <f t="shared" si="73"/>
        <v>1</v>
      </c>
      <c r="K274" s="1" t="b">
        <f t="shared" si="74"/>
        <v>0</v>
      </c>
      <c r="L274" s="1" t="b">
        <f t="shared" si="75"/>
        <v>0</v>
      </c>
      <c r="M274" s="1" t="b">
        <f t="shared" si="76"/>
        <v>1</v>
      </c>
      <c r="N274" s="1" t="b">
        <f t="shared" si="77"/>
        <v>1</v>
      </c>
      <c r="O274" s="1" t="b">
        <f t="shared" si="78"/>
        <v>0</v>
      </c>
      <c r="P274" s="1" t="b">
        <f t="shared" si="79"/>
        <v>0</v>
      </c>
      <c r="Q274" s="1" t="b">
        <f t="shared" si="80"/>
        <v>1</v>
      </c>
      <c r="R274" s="1" t="b">
        <f t="shared" si="81"/>
        <v>1</v>
      </c>
      <c r="S274" s="5">
        <f>Partidas!T274</f>
        <v>2</v>
      </c>
      <c r="T274" s="5">
        <f>Partidas!U274</f>
        <v>7</v>
      </c>
      <c r="U274" s="5">
        <f t="shared" si="82"/>
        <v>9</v>
      </c>
      <c r="V274" s="5" t="b">
        <f t="shared" si="83"/>
        <v>1</v>
      </c>
      <c r="W274" s="5" t="b">
        <f t="shared" si="84"/>
        <v>0</v>
      </c>
      <c r="X274" s="5">
        <f>Partidas!X274</f>
        <v>1</v>
      </c>
      <c r="Y274" s="5">
        <f>Partidas!Y274</f>
        <v>2</v>
      </c>
      <c r="Z274" s="5">
        <f>Partidas!AG274</f>
        <v>1</v>
      </c>
      <c r="AA274" s="5">
        <f>Partidas!AH274</f>
        <v>0</v>
      </c>
      <c r="AB274" s="5">
        <f t="shared" si="85"/>
        <v>4</v>
      </c>
      <c r="AC274" s="1" t="b">
        <f t="shared" si="86"/>
        <v>1</v>
      </c>
      <c r="AD274" s="1" t="b">
        <f t="shared" si="87"/>
        <v>0</v>
      </c>
      <c r="AE274" s="1" t="b">
        <f t="shared" si="88"/>
        <v>0</v>
      </c>
      <c r="AF274" s="1" t="str">
        <f>Partidas!W274</f>
        <v>ok</v>
      </c>
      <c r="AG274" s="1" t="str">
        <f>Partidas!AK274</f>
        <v>ok</v>
      </c>
      <c r="AH274" s="1" t="str">
        <f t="shared" si="89"/>
        <v>Fjelstul World Cup Database + FootyStats CSV</v>
      </c>
      <c r="AI274" s="1">
        <f>Partidas!AX274</f>
        <v>0</v>
      </c>
    </row>
    <row r="275" spans="1:35" ht="15" customHeight="1">
      <c r="A275" s="1" t="str">
        <f>Partidas!C275</f>
        <v>M-2022-18</v>
      </c>
      <c r="B275" s="4">
        <f>Partidas!F275</f>
        <v>44890</v>
      </c>
      <c r="C275" s="1">
        <f>Partidas!A275</f>
        <v>2022</v>
      </c>
      <c r="D275" s="1" t="str">
        <f>Partidas!H275</f>
        <v>Qatar</v>
      </c>
      <c r="E275" s="1" t="str">
        <f>Partidas!I275</f>
        <v>Senegal</v>
      </c>
      <c r="F275" s="5">
        <f>Partidas!J275</f>
        <v>1</v>
      </c>
      <c r="G275" s="5">
        <f>Partidas!K275</f>
        <v>3</v>
      </c>
      <c r="H275" s="1" t="str">
        <f>Partidas!M275</f>
        <v>A</v>
      </c>
      <c r="I275" s="5">
        <f t="shared" si="72"/>
        <v>4</v>
      </c>
      <c r="J275" s="1" t="b">
        <f t="shared" si="73"/>
        <v>1</v>
      </c>
      <c r="K275" s="1" t="b">
        <f t="shared" si="74"/>
        <v>1</v>
      </c>
      <c r="L275" s="1" t="b">
        <f t="shared" si="75"/>
        <v>1</v>
      </c>
      <c r="M275" s="1" t="b">
        <f t="shared" si="76"/>
        <v>0</v>
      </c>
      <c r="N275" s="1" t="b">
        <f t="shared" si="77"/>
        <v>0</v>
      </c>
      <c r="O275" s="1" t="b">
        <f t="shared" si="78"/>
        <v>1</v>
      </c>
      <c r="P275" s="1" t="b">
        <f t="shared" si="79"/>
        <v>0</v>
      </c>
      <c r="Q275" s="1" t="b">
        <f t="shared" si="80"/>
        <v>1</v>
      </c>
      <c r="R275" s="1" t="b">
        <f t="shared" si="81"/>
        <v>1</v>
      </c>
      <c r="S275" s="5">
        <f>Partidas!T275</f>
        <v>6</v>
      </c>
      <c r="T275" s="5">
        <f>Partidas!U275</f>
        <v>7</v>
      </c>
      <c r="U275" s="5">
        <f t="shared" si="82"/>
        <v>13</v>
      </c>
      <c r="V275" s="5" t="b">
        <f t="shared" si="83"/>
        <v>1</v>
      </c>
      <c r="W275" s="5" t="b">
        <f t="shared" si="84"/>
        <v>1</v>
      </c>
      <c r="X275" s="5">
        <f>Partidas!X275</f>
        <v>3</v>
      </c>
      <c r="Y275" s="5">
        <f>Partidas!Y275</f>
        <v>3</v>
      </c>
      <c r="Z275" s="5">
        <f>Partidas!AG275</f>
        <v>0</v>
      </c>
      <c r="AA275" s="5">
        <f>Partidas!AH275</f>
        <v>0</v>
      </c>
      <c r="AB275" s="5">
        <f t="shared" si="85"/>
        <v>6</v>
      </c>
      <c r="AC275" s="1" t="b">
        <f t="shared" si="86"/>
        <v>1</v>
      </c>
      <c r="AD275" s="1" t="b">
        <f t="shared" si="87"/>
        <v>1</v>
      </c>
      <c r="AE275" s="1" t="b">
        <f t="shared" si="88"/>
        <v>1</v>
      </c>
      <c r="AF275" s="1" t="str">
        <f>Partidas!W275</f>
        <v>ok</v>
      </c>
      <c r="AG275" s="1" t="str">
        <f>Partidas!AK275</f>
        <v>ok</v>
      </c>
      <c r="AH275" s="1" t="str">
        <f t="shared" si="89"/>
        <v>Fjelstul World Cup Database + FootyStats CSV</v>
      </c>
      <c r="AI275" s="1">
        <f>Partidas!AX275</f>
        <v>0</v>
      </c>
    </row>
    <row r="276" spans="1:35" ht="15" customHeight="1">
      <c r="A276" s="1" t="str">
        <f>Partidas!C276</f>
        <v>M-2022-19</v>
      </c>
      <c r="B276" s="4">
        <f>Partidas!F276</f>
        <v>44890</v>
      </c>
      <c r="C276" s="1">
        <f>Partidas!A276</f>
        <v>2022</v>
      </c>
      <c r="D276" s="1" t="str">
        <f>Partidas!H276</f>
        <v>Netherlands</v>
      </c>
      <c r="E276" s="1" t="str">
        <f>Partidas!I276</f>
        <v>Ecuador</v>
      </c>
      <c r="F276" s="5">
        <f>Partidas!J276</f>
        <v>1</v>
      </c>
      <c r="G276" s="5">
        <f>Partidas!K276</f>
        <v>1</v>
      </c>
      <c r="H276" s="1" t="str">
        <f>Partidas!M276</f>
        <v>D</v>
      </c>
      <c r="I276" s="5">
        <f t="shared" si="72"/>
        <v>2</v>
      </c>
      <c r="J276" s="1" t="b">
        <f t="shared" si="73"/>
        <v>1</v>
      </c>
      <c r="K276" s="1" t="b">
        <f t="shared" si="74"/>
        <v>0</v>
      </c>
      <c r="L276" s="1" t="b">
        <f t="shared" si="75"/>
        <v>0</v>
      </c>
      <c r="M276" s="1" t="b">
        <f t="shared" si="76"/>
        <v>1</v>
      </c>
      <c r="N276" s="1" t="b">
        <f t="shared" si="77"/>
        <v>1</v>
      </c>
      <c r="O276" s="1" t="b">
        <f t="shared" si="78"/>
        <v>1</v>
      </c>
      <c r="P276" s="1" t="b">
        <f t="shared" si="79"/>
        <v>1</v>
      </c>
      <c r="Q276" s="1" t="b">
        <f t="shared" si="80"/>
        <v>0</v>
      </c>
      <c r="R276" s="1" t="b">
        <f t="shared" si="81"/>
        <v>1</v>
      </c>
      <c r="S276" s="5">
        <f>Partidas!T276</f>
        <v>2</v>
      </c>
      <c r="T276" s="5">
        <f>Partidas!U276</f>
        <v>5</v>
      </c>
      <c r="U276" s="5">
        <f t="shared" si="82"/>
        <v>7</v>
      </c>
      <c r="V276" s="5" t="b">
        <f t="shared" si="83"/>
        <v>0</v>
      </c>
      <c r="W276" s="5" t="b">
        <f t="shared" si="84"/>
        <v>0</v>
      </c>
      <c r="X276" s="5">
        <f>Partidas!X276</f>
        <v>0</v>
      </c>
      <c r="Y276" s="5">
        <f>Partidas!Y276</f>
        <v>1</v>
      </c>
      <c r="Z276" s="5">
        <f>Partidas!AG276</f>
        <v>0</v>
      </c>
      <c r="AA276" s="5">
        <f>Partidas!AH276</f>
        <v>0</v>
      </c>
      <c r="AB276" s="5">
        <f t="shared" si="85"/>
        <v>1</v>
      </c>
      <c r="AC276" s="1" t="b">
        <f t="shared" si="86"/>
        <v>0</v>
      </c>
      <c r="AD276" s="1" t="b">
        <f t="shared" si="87"/>
        <v>0</v>
      </c>
      <c r="AE276" s="1" t="b">
        <f t="shared" si="88"/>
        <v>0</v>
      </c>
      <c r="AF276" s="1" t="str">
        <f>Partidas!W276</f>
        <v>ok</v>
      </c>
      <c r="AG276" s="1" t="str">
        <f>Partidas!AK276</f>
        <v>ok</v>
      </c>
      <c r="AH276" s="1" t="str">
        <f t="shared" si="89"/>
        <v>Fjelstul World Cup Database + FootyStats CSV</v>
      </c>
      <c r="AI276" s="1">
        <f>Partidas!AX276</f>
        <v>0</v>
      </c>
    </row>
    <row r="277" spans="1:35" ht="15" customHeight="1">
      <c r="A277" s="1" t="str">
        <f>Partidas!C277</f>
        <v>M-2022-20</v>
      </c>
      <c r="B277" s="4">
        <f>Partidas!F277</f>
        <v>44890</v>
      </c>
      <c r="C277" s="1">
        <f>Partidas!A277</f>
        <v>2022</v>
      </c>
      <c r="D277" s="1" t="str">
        <f>Partidas!H277</f>
        <v>England</v>
      </c>
      <c r="E277" s="1" t="str">
        <f>Partidas!I277</f>
        <v>United States</v>
      </c>
      <c r="F277" s="5">
        <f>Partidas!J277</f>
        <v>0</v>
      </c>
      <c r="G277" s="5">
        <f>Partidas!K277</f>
        <v>0</v>
      </c>
      <c r="H277" s="1" t="str">
        <f>Partidas!M277</f>
        <v>D</v>
      </c>
      <c r="I277" s="5">
        <f t="shared" si="72"/>
        <v>0</v>
      </c>
      <c r="J277" s="1" t="b">
        <f t="shared" si="73"/>
        <v>0</v>
      </c>
      <c r="K277" s="1" t="b">
        <f t="shared" si="74"/>
        <v>0</v>
      </c>
      <c r="L277" s="1" t="b">
        <f t="shared" si="75"/>
        <v>0</v>
      </c>
      <c r="M277" s="1" t="b">
        <f t="shared" si="76"/>
        <v>1</v>
      </c>
      <c r="N277" s="1" t="b">
        <f t="shared" si="77"/>
        <v>1</v>
      </c>
      <c r="O277" s="1" t="b">
        <f t="shared" si="78"/>
        <v>0</v>
      </c>
      <c r="P277" s="1" t="b">
        <f t="shared" si="79"/>
        <v>1</v>
      </c>
      <c r="Q277" s="1" t="b">
        <f t="shared" si="80"/>
        <v>0</v>
      </c>
      <c r="R277" s="1" t="b">
        <f t="shared" si="81"/>
        <v>1</v>
      </c>
      <c r="S277" s="5">
        <f>Partidas!T277</f>
        <v>3</v>
      </c>
      <c r="T277" s="5">
        <f>Partidas!U277</f>
        <v>7</v>
      </c>
      <c r="U277" s="5">
        <f t="shared" si="82"/>
        <v>10</v>
      </c>
      <c r="V277" s="5" t="b">
        <f t="shared" si="83"/>
        <v>1</v>
      </c>
      <c r="W277" s="5" t="b">
        <f t="shared" si="84"/>
        <v>1</v>
      </c>
      <c r="X277" s="5">
        <f>Partidas!X277</f>
        <v>0</v>
      </c>
      <c r="Y277" s="5">
        <f>Partidas!Y277</f>
        <v>0</v>
      </c>
      <c r="Z277" s="5">
        <f>Partidas!AG277</f>
        <v>0</v>
      </c>
      <c r="AA277" s="5">
        <f>Partidas!AH277</f>
        <v>0</v>
      </c>
      <c r="AB277" s="5">
        <f t="shared" si="85"/>
        <v>0</v>
      </c>
      <c r="AC277" s="1" t="b">
        <f t="shared" si="86"/>
        <v>0</v>
      </c>
      <c r="AD277" s="1" t="b">
        <f t="shared" si="87"/>
        <v>0</v>
      </c>
      <c r="AE277" s="1" t="b">
        <f t="shared" si="88"/>
        <v>0</v>
      </c>
      <c r="AF277" s="1" t="str">
        <f>Partidas!W277</f>
        <v>ok</v>
      </c>
      <c r="AG277" s="1" t="str">
        <f>Partidas!AK277</f>
        <v>ok</v>
      </c>
      <c r="AH277" s="1" t="str">
        <f t="shared" si="89"/>
        <v>Fjelstul World Cup Database + FootyStats CSV</v>
      </c>
      <c r="AI277" s="1">
        <f>Partidas!AX277</f>
        <v>0</v>
      </c>
    </row>
    <row r="278" spans="1:35" ht="15" customHeight="1">
      <c r="A278" s="1" t="str">
        <f>Partidas!C278</f>
        <v>M-2022-21</v>
      </c>
      <c r="B278" s="4">
        <f>Partidas!F278</f>
        <v>44891</v>
      </c>
      <c r="C278" s="1">
        <f>Partidas!A278</f>
        <v>2022</v>
      </c>
      <c r="D278" s="1" t="str">
        <f>Partidas!H278</f>
        <v>Tunisia</v>
      </c>
      <c r="E278" s="1" t="str">
        <f>Partidas!I278</f>
        <v>Australia</v>
      </c>
      <c r="F278" s="5">
        <f>Partidas!J278</f>
        <v>0</v>
      </c>
      <c r="G278" s="5">
        <f>Partidas!K278</f>
        <v>1</v>
      </c>
      <c r="H278" s="1" t="str">
        <f>Partidas!M278</f>
        <v>A</v>
      </c>
      <c r="I278" s="5">
        <f t="shared" si="72"/>
        <v>1</v>
      </c>
      <c r="J278" s="1" t="b">
        <f t="shared" si="73"/>
        <v>0</v>
      </c>
      <c r="K278" s="1" t="b">
        <f t="shared" si="74"/>
        <v>0</v>
      </c>
      <c r="L278" s="1" t="b">
        <f t="shared" si="75"/>
        <v>0</v>
      </c>
      <c r="M278" s="1" t="b">
        <f t="shared" si="76"/>
        <v>1</v>
      </c>
      <c r="N278" s="1" t="b">
        <f t="shared" si="77"/>
        <v>1</v>
      </c>
      <c r="O278" s="1" t="b">
        <f t="shared" si="78"/>
        <v>0</v>
      </c>
      <c r="P278" s="1" t="b">
        <f t="shared" si="79"/>
        <v>0</v>
      </c>
      <c r="Q278" s="1" t="b">
        <f t="shared" si="80"/>
        <v>1</v>
      </c>
      <c r="R278" s="1" t="b">
        <f t="shared" si="81"/>
        <v>1</v>
      </c>
      <c r="S278" s="5">
        <f>Partidas!T278</f>
        <v>5</v>
      </c>
      <c r="T278" s="5">
        <f>Partidas!U278</f>
        <v>2</v>
      </c>
      <c r="U278" s="5">
        <f t="shared" si="82"/>
        <v>7</v>
      </c>
      <c r="V278" s="5" t="b">
        <f t="shared" si="83"/>
        <v>0</v>
      </c>
      <c r="W278" s="5" t="b">
        <f t="shared" si="84"/>
        <v>0</v>
      </c>
      <c r="X278" s="5">
        <f>Partidas!X278</f>
        <v>3</v>
      </c>
      <c r="Y278" s="5">
        <f>Partidas!Y278</f>
        <v>0</v>
      </c>
      <c r="Z278" s="5">
        <f>Partidas!AG278</f>
        <v>0</v>
      </c>
      <c r="AA278" s="5">
        <f>Partidas!AH278</f>
        <v>0</v>
      </c>
      <c r="AB278" s="5">
        <f t="shared" si="85"/>
        <v>3</v>
      </c>
      <c r="AC278" s="1" t="b">
        <f t="shared" si="86"/>
        <v>0</v>
      </c>
      <c r="AD278" s="1" t="b">
        <f t="shared" si="87"/>
        <v>0</v>
      </c>
      <c r="AE278" s="1" t="b">
        <f t="shared" si="88"/>
        <v>0</v>
      </c>
      <c r="AF278" s="1" t="str">
        <f>Partidas!W278</f>
        <v>ok</v>
      </c>
      <c r="AG278" s="1" t="str">
        <f>Partidas!AK278</f>
        <v>ok</v>
      </c>
      <c r="AH278" s="1" t="str">
        <f t="shared" si="89"/>
        <v>Fjelstul World Cup Database + FootyStats CSV</v>
      </c>
      <c r="AI278" s="1">
        <f>Partidas!AX278</f>
        <v>0</v>
      </c>
    </row>
    <row r="279" spans="1:35" ht="15" customHeight="1">
      <c r="A279" s="1" t="str">
        <f>Partidas!C279</f>
        <v>M-2022-22</v>
      </c>
      <c r="B279" s="4">
        <f>Partidas!F279</f>
        <v>44891</v>
      </c>
      <c r="C279" s="1">
        <f>Partidas!A279</f>
        <v>2022</v>
      </c>
      <c r="D279" s="1" t="str">
        <f>Partidas!H279</f>
        <v>Poland</v>
      </c>
      <c r="E279" s="1" t="str">
        <f>Partidas!I279</f>
        <v>Saudi Arabia</v>
      </c>
      <c r="F279" s="5">
        <f>Partidas!J279</f>
        <v>2</v>
      </c>
      <c r="G279" s="5">
        <f>Partidas!K279</f>
        <v>0</v>
      </c>
      <c r="H279" s="1" t="str">
        <f>Partidas!M279</f>
        <v>H</v>
      </c>
      <c r="I279" s="5">
        <f t="shared" si="72"/>
        <v>2</v>
      </c>
      <c r="J279" s="1" t="b">
        <f t="shared" si="73"/>
        <v>1</v>
      </c>
      <c r="K279" s="1" t="b">
        <f t="shared" si="74"/>
        <v>0</v>
      </c>
      <c r="L279" s="1" t="b">
        <f t="shared" si="75"/>
        <v>0</v>
      </c>
      <c r="M279" s="1" t="b">
        <f t="shared" si="76"/>
        <v>1</v>
      </c>
      <c r="N279" s="1" t="b">
        <f t="shared" si="77"/>
        <v>1</v>
      </c>
      <c r="O279" s="1" t="b">
        <f t="shared" si="78"/>
        <v>0</v>
      </c>
      <c r="P279" s="1" t="b">
        <f t="shared" si="79"/>
        <v>1</v>
      </c>
      <c r="Q279" s="1" t="b">
        <f t="shared" si="80"/>
        <v>1</v>
      </c>
      <c r="R279" s="1" t="b">
        <f t="shared" si="81"/>
        <v>0</v>
      </c>
      <c r="S279" s="5">
        <f>Partidas!T279</f>
        <v>4</v>
      </c>
      <c r="T279" s="5">
        <f>Partidas!U279</f>
        <v>5</v>
      </c>
      <c r="U279" s="5">
        <f t="shared" si="82"/>
        <v>9</v>
      </c>
      <c r="V279" s="5" t="b">
        <f t="shared" si="83"/>
        <v>1</v>
      </c>
      <c r="W279" s="5" t="b">
        <f t="shared" si="84"/>
        <v>0</v>
      </c>
      <c r="X279" s="5">
        <f>Partidas!X279</f>
        <v>3</v>
      </c>
      <c r="Y279" s="5">
        <f>Partidas!Y279</f>
        <v>2</v>
      </c>
      <c r="Z279" s="5">
        <f>Partidas!AG279</f>
        <v>0</v>
      </c>
      <c r="AA279" s="5">
        <f>Partidas!AH279</f>
        <v>0</v>
      </c>
      <c r="AB279" s="5">
        <f t="shared" si="85"/>
        <v>5</v>
      </c>
      <c r="AC279" s="1" t="b">
        <f t="shared" si="86"/>
        <v>1</v>
      </c>
      <c r="AD279" s="1" t="b">
        <f t="shared" si="87"/>
        <v>1</v>
      </c>
      <c r="AE279" s="1" t="b">
        <f t="shared" si="88"/>
        <v>0</v>
      </c>
      <c r="AF279" s="1" t="str">
        <f>Partidas!W279</f>
        <v>ok</v>
      </c>
      <c r="AG279" s="1" t="str">
        <f>Partidas!AK279</f>
        <v>ok</v>
      </c>
      <c r="AH279" s="1" t="str">
        <f t="shared" si="89"/>
        <v>Fjelstul World Cup Database + FootyStats CSV</v>
      </c>
      <c r="AI279" s="1">
        <f>Partidas!AX279</f>
        <v>0</v>
      </c>
    </row>
    <row r="280" spans="1:35" ht="15" customHeight="1">
      <c r="A280" s="1" t="str">
        <f>Partidas!C280</f>
        <v>M-2022-23</v>
      </c>
      <c r="B280" s="4">
        <f>Partidas!F280</f>
        <v>44891</v>
      </c>
      <c r="C280" s="1">
        <f>Partidas!A280</f>
        <v>2022</v>
      </c>
      <c r="D280" s="1" t="str">
        <f>Partidas!H280</f>
        <v>France</v>
      </c>
      <c r="E280" s="1" t="str">
        <f>Partidas!I280</f>
        <v>Denmark</v>
      </c>
      <c r="F280" s="5">
        <f>Partidas!J280</f>
        <v>2</v>
      </c>
      <c r="G280" s="5">
        <f>Partidas!K280</f>
        <v>1</v>
      </c>
      <c r="H280" s="1" t="str">
        <f>Partidas!M280</f>
        <v>H</v>
      </c>
      <c r="I280" s="5">
        <f t="shared" si="72"/>
        <v>3</v>
      </c>
      <c r="J280" s="1" t="b">
        <f t="shared" si="73"/>
        <v>1</v>
      </c>
      <c r="K280" s="1" t="b">
        <f t="shared" si="74"/>
        <v>1</v>
      </c>
      <c r="L280" s="1" t="b">
        <f t="shared" si="75"/>
        <v>0</v>
      </c>
      <c r="M280" s="1" t="b">
        <f t="shared" si="76"/>
        <v>0</v>
      </c>
      <c r="N280" s="1" t="b">
        <f t="shared" si="77"/>
        <v>1</v>
      </c>
      <c r="O280" s="1" t="b">
        <f t="shared" si="78"/>
        <v>1</v>
      </c>
      <c r="P280" s="1" t="b">
        <f t="shared" si="79"/>
        <v>1</v>
      </c>
      <c r="Q280" s="1" t="b">
        <f t="shared" si="80"/>
        <v>1</v>
      </c>
      <c r="R280" s="1" t="b">
        <f t="shared" si="81"/>
        <v>0</v>
      </c>
      <c r="S280" s="5">
        <f>Partidas!T280</f>
        <v>6</v>
      </c>
      <c r="T280" s="5">
        <f>Partidas!U280</f>
        <v>4</v>
      </c>
      <c r="U280" s="5">
        <f t="shared" si="82"/>
        <v>10</v>
      </c>
      <c r="V280" s="5" t="b">
        <f t="shared" si="83"/>
        <v>1</v>
      </c>
      <c r="W280" s="5" t="b">
        <f t="shared" si="84"/>
        <v>1</v>
      </c>
      <c r="X280" s="5">
        <f>Partidas!X280</f>
        <v>1</v>
      </c>
      <c r="Y280" s="5">
        <f>Partidas!Y280</f>
        <v>2</v>
      </c>
      <c r="Z280" s="5">
        <f>Partidas!AG280</f>
        <v>0</v>
      </c>
      <c r="AA280" s="5">
        <f>Partidas!AH280</f>
        <v>0</v>
      </c>
      <c r="AB280" s="5">
        <f t="shared" si="85"/>
        <v>3</v>
      </c>
      <c r="AC280" s="1" t="b">
        <f t="shared" si="86"/>
        <v>0</v>
      </c>
      <c r="AD280" s="1" t="b">
        <f t="shared" si="87"/>
        <v>0</v>
      </c>
      <c r="AE280" s="1" t="b">
        <f t="shared" si="88"/>
        <v>0</v>
      </c>
      <c r="AF280" s="1" t="str">
        <f>Partidas!W280</f>
        <v>ok</v>
      </c>
      <c r="AG280" s="1" t="str">
        <f>Partidas!AK280</f>
        <v>ok</v>
      </c>
      <c r="AH280" s="1" t="str">
        <f t="shared" si="89"/>
        <v>Fjelstul World Cup Database + FootyStats CSV</v>
      </c>
      <c r="AI280" s="1">
        <f>Partidas!AX280</f>
        <v>0</v>
      </c>
    </row>
    <row r="281" spans="1:35" ht="15" customHeight="1">
      <c r="A281" s="1" t="str">
        <f>Partidas!C281</f>
        <v>M-2022-24</v>
      </c>
      <c r="B281" s="4">
        <f>Partidas!F281</f>
        <v>44891</v>
      </c>
      <c r="C281" s="1">
        <f>Partidas!A281</f>
        <v>2022</v>
      </c>
      <c r="D281" s="1" t="str">
        <f>Partidas!H281</f>
        <v>Argentina</v>
      </c>
      <c r="E281" s="1" t="str">
        <f>Partidas!I281</f>
        <v>Mexico</v>
      </c>
      <c r="F281" s="5">
        <f>Partidas!J281</f>
        <v>2</v>
      </c>
      <c r="G281" s="5">
        <f>Partidas!K281</f>
        <v>0</v>
      </c>
      <c r="H281" s="1" t="str">
        <f>Partidas!M281</f>
        <v>H</v>
      </c>
      <c r="I281" s="5">
        <f t="shared" si="72"/>
        <v>2</v>
      </c>
      <c r="J281" s="1" t="b">
        <f t="shared" si="73"/>
        <v>1</v>
      </c>
      <c r="K281" s="1" t="b">
        <f t="shared" si="74"/>
        <v>0</v>
      </c>
      <c r="L281" s="1" t="b">
        <f t="shared" si="75"/>
        <v>0</v>
      </c>
      <c r="M281" s="1" t="b">
        <f t="shared" si="76"/>
        <v>1</v>
      </c>
      <c r="N281" s="1" t="b">
        <f t="shared" si="77"/>
        <v>1</v>
      </c>
      <c r="O281" s="1" t="b">
        <f t="shared" si="78"/>
        <v>0</v>
      </c>
      <c r="P281" s="1" t="b">
        <f t="shared" si="79"/>
        <v>1</v>
      </c>
      <c r="Q281" s="1" t="b">
        <f t="shared" si="80"/>
        <v>1</v>
      </c>
      <c r="R281" s="1" t="b">
        <f t="shared" si="81"/>
        <v>0</v>
      </c>
      <c r="S281" s="5">
        <f>Partidas!T281</f>
        <v>4</v>
      </c>
      <c r="T281" s="5">
        <f>Partidas!U281</f>
        <v>2</v>
      </c>
      <c r="U281" s="5">
        <f t="shared" si="82"/>
        <v>6</v>
      </c>
      <c r="V281" s="5" t="b">
        <f t="shared" si="83"/>
        <v>0</v>
      </c>
      <c r="W281" s="5" t="b">
        <f t="shared" si="84"/>
        <v>0</v>
      </c>
      <c r="X281" s="5">
        <f>Partidas!X281</f>
        <v>1</v>
      </c>
      <c r="Y281" s="5">
        <f>Partidas!Y281</f>
        <v>4</v>
      </c>
      <c r="Z281" s="5">
        <f>Partidas!AG281</f>
        <v>0</v>
      </c>
      <c r="AA281" s="5">
        <f>Partidas!AH281</f>
        <v>0</v>
      </c>
      <c r="AB281" s="5">
        <f t="shared" si="85"/>
        <v>5</v>
      </c>
      <c r="AC281" s="1" t="b">
        <f t="shared" si="86"/>
        <v>1</v>
      </c>
      <c r="AD281" s="1" t="b">
        <f t="shared" si="87"/>
        <v>1</v>
      </c>
      <c r="AE281" s="1" t="b">
        <f t="shared" si="88"/>
        <v>0</v>
      </c>
      <c r="AF281" s="1" t="str">
        <f>Partidas!W281</f>
        <v>ok</v>
      </c>
      <c r="AG281" s="1" t="str">
        <f>Partidas!AK281</f>
        <v>ok</v>
      </c>
      <c r="AH281" s="1" t="str">
        <f t="shared" si="89"/>
        <v>Fjelstul World Cup Database + FootyStats CSV</v>
      </c>
      <c r="AI281" s="1">
        <f>Partidas!AX281</f>
        <v>0</v>
      </c>
    </row>
    <row r="282" spans="1:35" ht="15" customHeight="1">
      <c r="A282" s="1" t="str">
        <f>Partidas!C282</f>
        <v>M-2022-25</v>
      </c>
      <c r="B282" s="4">
        <f>Partidas!F282</f>
        <v>44892</v>
      </c>
      <c r="C282" s="1">
        <f>Partidas!A282</f>
        <v>2022</v>
      </c>
      <c r="D282" s="1" t="str">
        <f>Partidas!H282</f>
        <v>Japan</v>
      </c>
      <c r="E282" s="1" t="str">
        <f>Partidas!I282</f>
        <v>Costa Rica</v>
      </c>
      <c r="F282" s="5">
        <f>Partidas!J282</f>
        <v>0</v>
      </c>
      <c r="G282" s="5">
        <f>Partidas!K282</f>
        <v>1</v>
      </c>
      <c r="H282" s="1" t="str">
        <f>Partidas!M282</f>
        <v>A</v>
      </c>
      <c r="I282" s="5">
        <f t="shared" si="72"/>
        <v>1</v>
      </c>
      <c r="J282" s="1" t="b">
        <f t="shared" si="73"/>
        <v>0</v>
      </c>
      <c r="K282" s="1" t="b">
        <f t="shared" si="74"/>
        <v>0</v>
      </c>
      <c r="L282" s="1" t="b">
        <f t="shared" si="75"/>
        <v>0</v>
      </c>
      <c r="M282" s="1" t="b">
        <f t="shared" si="76"/>
        <v>1</v>
      </c>
      <c r="N282" s="1" t="b">
        <f t="shared" si="77"/>
        <v>1</v>
      </c>
      <c r="O282" s="1" t="b">
        <f t="shared" si="78"/>
        <v>0</v>
      </c>
      <c r="P282" s="1" t="b">
        <f t="shared" si="79"/>
        <v>0</v>
      </c>
      <c r="Q282" s="1" t="b">
        <f t="shared" si="80"/>
        <v>1</v>
      </c>
      <c r="R282" s="1" t="b">
        <f t="shared" si="81"/>
        <v>1</v>
      </c>
      <c r="S282" s="5">
        <f>Partidas!T282</f>
        <v>5</v>
      </c>
      <c r="T282" s="5">
        <f>Partidas!U282</f>
        <v>0</v>
      </c>
      <c r="U282" s="5">
        <f t="shared" si="82"/>
        <v>5</v>
      </c>
      <c r="V282" s="5" t="b">
        <f t="shared" si="83"/>
        <v>0</v>
      </c>
      <c r="W282" s="5" t="b">
        <f t="shared" si="84"/>
        <v>0</v>
      </c>
      <c r="X282" s="5">
        <f>Partidas!X282</f>
        <v>3</v>
      </c>
      <c r="Y282" s="5">
        <f>Partidas!Y282</f>
        <v>3</v>
      </c>
      <c r="Z282" s="5">
        <f>Partidas!AG282</f>
        <v>0</v>
      </c>
      <c r="AA282" s="5">
        <f>Partidas!AH282</f>
        <v>0</v>
      </c>
      <c r="AB282" s="5">
        <f t="shared" si="85"/>
        <v>6</v>
      </c>
      <c r="AC282" s="1" t="b">
        <f t="shared" si="86"/>
        <v>1</v>
      </c>
      <c r="AD282" s="1" t="b">
        <f t="shared" si="87"/>
        <v>1</v>
      </c>
      <c r="AE282" s="1" t="b">
        <f t="shared" si="88"/>
        <v>1</v>
      </c>
      <c r="AF282" s="1" t="str">
        <f>Partidas!W282</f>
        <v>ok</v>
      </c>
      <c r="AG282" s="1" t="str">
        <f>Partidas!AK282</f>
        <v>ok</v>
      </c>
      <c r="AH282" s="1" t="str">
        <f t="shared" si="89"/>
        <v>Fjelstul World Cup Database + FootyStats CSV</v>
      </c>
      <c r="AI282" s="1">
        <f>Partidas!AX282</f>
        <v>0</v>
      </c>
    </row>
    <row r="283" spans="1:35" ht="15" customHeight="1">
      <c r="A283" s="1" t="str">
        <f>Partidas!C283</f>
        <v>M-2022-26</v>
      </c>
      <c r="B283" s="4">
        <f>Partidas!F283</f>
        <v>44892</v>
      </c>
      <c r="C283" s="1">
        <f>Partidas!A283</f>
        <v>2022</v>
      </c>
      <c r="D283" s="1" t="str">
        <f>Partidas!H283</f>
        <v>Belgium</v>
      </c>
      <c r="E283" s="1" t="str">
        <f>Partidas!I283</f>
        <v>Morocco</v>
      </c>
      <c r="F283" s="5">
        <f>Partidas!J283</f>
        <v>0</v>
      </c>
      <c r="G283" s="5">
        <f>Partidas!K283</f>
        <v>2</v>
      </c>
      <c r="H283" s="1" t="str">
        <f>Partidas!M283</f>
        <v>A</v>
      </c>
      <c r="I283" s="5">
        <f t="shared" si="72"/>
        <v>2</v>
      </c>
      <c r="J283" s="1" t="b">
        <f t="shared" si="73"/>
        <v>1</v>
      </c>
      <c r="K283" s="1" t="b">
        <f t="shared" si="74"/>
        <v>0</v>
      </c>
      <c r="L283" s="1" t="b">
        <f t="shared" si="75"/>
        <v>0</v>
      </c>
      <c r="M283" s="1" t="b">
        <f t="shared" si="76"/>
        <v>1</v>
      </c>
      <c r="N283" s="1" t="b">
        <f t="shared" si="77"/>
        <v>1</v>
      </c>
      <c r="O283" s="1" t="b">
        <f t="shared" si="78"/>
        <v>0</v>
      </c>
      <c r="P283" s="1" t="b">
        <f t="shared" si="79"/>
        <v>0</v>
      </c>
      <c r="Q283" s="1" t="b">
        <f t="shared" si="80"/>
        <v>1</v>
      </c>
      <c r="R283" s="1" t="b">
        <f t="shared" si="81"/>
        <v>1</v>
      </c>
      <c r="S283" s="5">
        <f>Partidas!T283</f>
        <v>9</v>
      </c>
      <c r="T283" s="5">
        <f>Partidas!U283</f>
        <v>1</v>
      </c>
      <c r="U283" s="5">
        <f t="shared" si="82"/>
        <v>10</v>
      </c>
      <c r="V283" s="5" t="b">
        <f t="shared" si="83"/>
        <v>1</v>
      </c>
      <c r="W283" s="5" t="b">
        <f t="shared" si="84"/>
        <v>1</v>
      </c>
      <c r="X283" s="5">
        <f>Partidas!X283</f>
        <v>1</v>
      </c>
      <c r="Y283" s="5">
        <f>Partidas!Y283</f>
        <v>1</v>
      </c>
      <c r="Z283" s="5">
        <f>Partidas!AG283</f>
        <v>0</v>
      </c>
      <c r="AA283" s="5">
        <f>Partidas!AH283</f>
        <v>0</v>
      </c>
      <c r="AB283" s="5">
        <f t="shared" si="85"/>
        <v>2</v>
      </c>
      <c r="AC283" s="1" t="b">
        <f t="shared" si="86"/>
        <v>0</v>
      </c>
      <c r="AD283" s="1" t="b">
        <f t="shared" si="87"/>
        <v>0</v>
      </c>
      <c r="AE283" s="1" t="b">
        <f t="shared" si="88"/>
        <v>0</v>
      </c>
      <c r="AF283" s="1" t="str">
        <f>Partidas!W283</f>
        <v>ok</v>
      </c>
      <c r="AG283" s="1" t="str">
        <f>Partidas!AK283</f>
        <v>ok</v>
      </c>
      <c r="AH283" s="1" t="str">
        <f t="shared" si="89"/>
        <v>Fjelstul World Cup Database + FootyStats CSV</v>
      </c>
      <c r="AI283" s="1">
        <f>Partidas!AX283</f>
        <v>0</v>
      </c>
    </row>
    <row r="284" spans="1:35" ht="15" customHeight="1">
      <c r="A284" s="1" t="str">
        <f>Partidas!C284</f>
        <v>M-2022-27</v>
      </c>
      <c r="B284" s="4">
        <f>Partidas!F284</f>
        <v>44892</v>
      </c>
      <c r="C284" s="1">
        <f>Partidas!A284</f>
        <v>2022</v>
      </c>
      <c r="D284" s="1" t="str">
        <f>Partidas!H284</f>
        <v>Croatia</v>
      </c>
      <c r="E284" s="1" t="str">
        <f>Partidas!I284</f>
        <v>Canada</v>
      </c>
      <c r="F284" s="5">
        <f>Partidas!J284</f>
        <v>4</v>
      </c>
      <c r="G284" s="5">
        <f>Partidas!K284</f>
        <v>1</v>
      </c>
      <c r="H284" s="1" t="str">
        <f>Partidas!M284</f>
        <v>H</v>
      </c>
      <c r="I284" s="5">
        <f t="shared" si="72"/>
        <v>5</v>
      </c>
      <c r="J284" s="1" t="b">
        <f t="shared" si="73"/>
        <v>1</v>
      </c>
      <c r="K284" s="1" t="b">
        <f t="shared" si="74"/>
        <v>1</v>
      </c>
      <c r="L284" s="1" t="b">
        <f t="shared" si="75"/>
        <v>1</v>
      </c>
      <c r="M284" s="1" t="b">
        <f t="shared" si="76"/>
        <v>0</v>
      </c>
      <c r="N284" s="1" t="b">
        <f t="shared" si="77"/>
        <v>0</v>
      </c>
      <c r="O284" s="1" t="b">
        <f t="shared" si="78"/>
        <v>1</v>
      </c>
      <c r="P284" s="1" t="b">
        <f t="shared" si="79"/>
        <v>1</v>
      </c>
      <c r="Q284" s="1" t="b">
        <f t="shared" si="80"/>
        <v>1</v>
      </c>
      <c r="R284" s="1" t="b">
        <f t="shared" si="81"/>
        <v>0</v>
      </c>
      <c r="S284" s="5">
        <f>Partidas!T284</f>
        <v>5</v>
      </c>
      <c r="T284" s="5">
        <f>Partidas!U284</f>
        <v>2</v>
      </c>
      <c r="U284" s="5">
        <f t="shared" si="82"/>
        <v>7</v>
      </c>
      <c r="V284" s="5" t="b">
        <f t="shared" si="83"/>
        <v>0</v>
      </c>
      <c r="W284" s="5" t="b">
        <f t="shared" si="84"/>
        <v>0</v>
      </c>
      <c r="X284" s="5">
        <f>Partidas!X284</f>
        <v>2</v>
      </c>
      <c r="Y284" s="5">
        <f>Partidas!Y284</f>
        <v>2</v>
      </c>
      <c r="Z284" s="5">
        <f>Partidas!AG284</f>
        <v>0</v>
      </c>
      <c r="AA284" s="5">
        <f>Partidas!AH284</f>
        <v>0</v>
      </c>
      <c r="AB284" s="5">
        <f t="shared" si="85"/>
        <v>4</v>
      </c>
      <c r="AC284" s="1" t="b">
        <f t="shared" si="86"/>
        <v>1</v>
      </c>
      <c r="AD284" s="1" t="b">
        <f t="shared" si="87"/>
        <v>0</v>
      </c>
      <c r="AE284" s="1" t="b">
        <f t="shared" si="88"/>
        <v>0</v>
      </c>
      <c r="AF284" s="1" t="str">
        <f>Partidas!W284</f>
        <v>ok</v>
      </c>
      <c r="AG284" s="1" t="str">
        <f>Partidas!AK284</f>
        <v>ok</v>
      </c>
      <c r="AH284" s="1" t="str">
        <f t="shared" si="89"/>
        <v>Fjelstul World Cup Database + FootyStats CSV</v>
      </c>
      <c r="AI284" s="1">
        <f>Partidas!AX284</f>
        <v>0</v>
      </c>
    </row>
    <row r="285" spans="1:35" ht="15" customHeight="1">
      <c r="A285" s="1" t="str">
        <f>Partidas!C285</f>
        <v>M-2022-28</v>
      </c>
      <c r="B285" s="4">
        <f>Partidas!F285</f>
        <v>44892</v>
      </c>
      <c r="C285" s="1">
        <f>Partidas!A285</f>
        <v>2022</v>
      </c>
      <c r="D285" s="1" t="str">
        <f>Partidas!H285</f>
        <v>Spain</v>
      </c>
      <c r="E285" s="1" t="str">
        <f>Partidas!I285</f>
        <v>Germany</v>
      </c>
      <c r="F285" s="5">
        <f>Partidas!J285</f>
        <v>1</v>
      </c>
      <c r="G285" s="5">
        <f>Partidas!K285</f>
        <v>1</v>
      </c>
      <c r="H285" s="1" t="str">
        <f>Partidas!M285</f>
        <v>D</v>
      </c>
      <c r="I285" s="5">
        <f t="shared" si="72"/>
        <v>2</v>
      </c>
      <c r="J285" s="1" t="b">
        <f t="shared" si="73"/>
        <v>1</v>
      </c>
      <c r="K285" s="1" t="b">
        <f t="shared" si="74"/>
        <v>0</v>
      </c>
      <c r="L285" s="1" t="b">
        <f t="shared" si="75"/>
        <v>0</v>
      </c>
      <c r="M285" s="1" t="b">
        <f t="shared" si="76"/>
        <v>1</v>
      </c>
      <c r="N285" s="1" t="b">
        <f t="shared" si="77"/>
        <v>1</v>
      </c>
      <c r="O285" s="1" t="b">
        <f t="shared" si="78"/>
        <v>1</v>
      </c>
      <c r="P285" s="1" t="b">
        <f t="shared" si="79"/>
        <v>1</v>
      </c>
      <c r="Q285" s="1" t="b">
        <f t="shared" si="80"/>
        <v>0</v>
      </c>
      <c r="R285" s="1" t="b">
        <f t="shared" si="81"/>
        <v>1</v>
      </c>
      <c r="S285" s="5">
        <f>Partidas!T285</f>
        <v>6</v>
      </c>
      <c r="T285" s="5">
        <f>Partidas!U285</f>
        <v>5</v>
      </c>
      <c r="U285" s="5">
        <f t="shared" si="82"/>
        <v>11</v>
      </c>
      <c r="V285" s="5" t="b">
        <f t="shared" si="83"/>
        <v>1</v>
      </c>
      <c r="W285" s="5" t="b">
        <f t="shared" si="84"/>
        <v>1</v>
      </c>
      <c r="X285" s="5">
        <f>Partidas!X285</f>
        <v>1</v>
      </c>
      <c r="Y285" s="5">
        <f>Partidas!Y285</f>
        <v>3</v>
      </c>
      <c r="Z285" s="5">
        <f>Partidas!AG285</f>
        <v>0</v>
      </c>
      <c r="AA285" s="5">
        <f>Partidas!AH285</f>
        <v>0</v>
      </c>
      <c r="AB285" s="5">
        <f t="shared" si="85"/>
        <v>4</v>
      </c>
      <c r="AC285" s="1" t="b">
        <f t="shared" si="86"/>
        <v>1</v>
      </c>
      <c r="AD285" s="1" t="b">
        <f t="shared" si="87"/>
        <v>0</v>
      </c>
      <c r="AE285" s="1" t="b">
        <f t="shared" si="88"/>
        <v>0</v>
      </c>
      <c r="AF285" s="1" t="str">
        <f>Partidas!W285</f>
        <v>ok</v>
      </c>
      <c r="AG285" s="1" t="str">
        <f>Partidas!AK285</f>
        <v>ok</v>
      </c>
      <c r="AH285" s="1" t="str">
        <f t="shared" si="89"/>
        <v>Fjelstul World Cup Database + FootyStats CSV</v>
      </c>
      <c r="AI285" s="1">
        <f>Partidas!AX285</f>
        <v>0</v>
      </c>
    </row>
    <row r="286" spans="1:35" ht="15" customHeight="1">
      <c r="A286" s="1" t="str">
        <f>Partidas!C286</f>
        <v>M-2022-29</v>
      </c>
      <c r="B286" s="4">
        <f>Partidas!F286</f>
        <v>44893</v>
      </c>
      <c r="C286" s="1">
        <f>Partidas!A286</f>
        <v>2022</v>
      </c>
      <c r="D286" s="1" t="str">
        <f>Partidas!H286</f>
        <v>Cameroon</v>
      </c>
      <c r="E286" s="1" t="str">
        <f>Partidas!I286</f>
        <v>Serbia</v>
      </c>
      <c r="F286" s="5">
        <f>Partidas!J286</f>
        <v>3</v>
      </c>
      <c r="G286" s="5">
        <f>Partidas!K286</f>
        <v>3</v>
      </c>
      <c r="H286" s="1" t="str">
        <f>Partidas!M286</f>
        <v>D</v>
      </c>
      <c r="I286" s="5">
        <f t="shared" si="72"/>
        <v>6</v>
      </c>
      <c r="J286" s="1" t="b">
        <f t="shared" si="73"/>
        <v>1</v>
      </c>
      <c r="K286" s="1" t="b">
        <f t="shared" si="74"/>
        <v>1</v>
      </c>
      <c r="L286" s="1" t="b">
        <f t="shared" si="75"/>
        <v>1</v>
      </c>
      <c r="M286" s="1" t="b">
        <f t="shared" si="76"/>
        <v>0</v>
      </c>
      <c r="N286" s="1" t="b">
        <f t="shared" si="77"/>
        <v>0</v>
      </c>
      <c r="O286" s="1" t="b">
        <f t="shared" si="78"/>
        <v>1</v>
      </c>
      <c r="P286" s="1" t="b">
        <f t="shared" si="79"/>
        <v>1</v>
      </c>
      <c r="Q286" s="1" t="b">
        <f t="shared" si="80"/>
        <v>0</v>
      </c>
      <c r="R286" s="1" t="b">
        <f t="shared" si="81"/>
        <v>1</v>
      </c>
      <c r="S286" s="5">
        <f>Partidas!T286</f>
        <v>4</v>
      </c>
      <c r="T286" s="5">
        <f>Partidas!U286</f>
        <v>3</v>
      </c>
      <c r="U286" s="5">
        <f t="shared" si="82"/>
        <v>7</v>
      </c>
      <c r="V286" s="5" t="b">
        <f t="shared" si="83"/>
        <v>0</v>
      </c>
      <c r="W286" s="5" t="b">
        <f t="shared" si="84"/>
        <v>0</v>
      </c>
      <c r="X286" s="5">
        <f>Partidas!X286</f>
        <v>2</v>
      </c>
      <c r="Y286" s="5">
        <f>Partidas!Y286</f>
        <v>2</v>
      </c>
      <c r="Z286" s="5">
        <f>Partidas!AG286</f>
        <v>0</v>
      </c>
      <c r="AA286" s="5">
        <f>Partidas!AH286</f>
        <v>0</v>
      </c>
      <c r="AB286" s="5">
        <f t="shared" si="85"/>
        <v>4</v>
      </c>
      <c r="AC286" s="1" t="b">
        <f t="shared" si="86"/>
        <v>1</v>
      </c>
      <c r="AD286" s="1" t="b">
        <f t="shared" si="87"/>
        <v>0</v>
      </c>
      <c r="AE286" s="1" t="b">
        <f t="shared" si="88"/>
        <v>0</v>
      </c>
      <c r="AF286" s="1" t="str">
        <f>Partidas!W286</f>
        <v>ok</v>
      </c>
      <c r="AG286" s="1" t="str">
        <f>Partidas!AK286</f>
        <v>ok</v>
      </c>
      <c r="AH286" s="1" t="str">
        <f t="shared" si="89"/>
        <v>Fjelstul World Cup Database + FootyStats CSV</v>
      </c>
      <c r="AI286" s="1">
        <f>Partidas!AX286</f>
        <v>0</v>
      </c>
    </row>
    <row r="287" spans="1:35" ht="15" customHeight="1">
      <c r="A287" s="1" t="str">
        <f>Partidas!C287</f>
        <v>M-2022-30</v>
      </c>
      <c r="B287" s="4">
        <f>Partidas!F287</f>
        <v>44893</v>
      </c>
      <c r="C287" s="1">
        <f>Partidas!A287</f>
        <v>2022</v>
      </c>
      <c r="D287" s="1" t="str">
        <f>Partidas!H287</f>
        <v>South Korea</v>
      </c>
      <c r="E287" s="1" t="str">
        <f>Partidas!I287</f>
        <v>Ghana</v>
      </c>
      <c r="F287" s="5">
        <f>Partidas!J287</f>
        <v>2</v>
      </c>
      <c r="G287" s="5">
        <f>Partidas!K287</f>
        <v>3</v>
      </c>
      <c r="H287" s="1" t="str">
        <f>Partidas!M287</f>
        <v>A</v>
      </c>
      <c r="I287" s="5">
        <f t="shared" si="72"/>
        <v>5</v>
      </c>
      <c r="J287" s="1" t="b">
        <f t="shared" si="73"/>
        <v>1</v>
      </c>
      <c r="K287" s="1" t="b">
        <f t="shared" si="74"/>
        <v>1</v>
      </c>
      <c r="L287" s="1" t="b">
        <f t="shared" si="75"/>
        <v>1</v>
      </c>
      <c r="M287" s="1" t="b">
        <f t="shared" si="76"/>
        <v>0</v>
      </c>
      <c r="N287" s="1" t="b">
        <f t="shared" si="77"/>
        <v>0</v>
      </c>
      <c r="O287" s="1" t="b">
        <f t="shared" si="78"/>
        <v>1</v>
      </c>
      <c r="P287" s="1" t="b">
        <f t="shared" si="79"/>
        <v>0</v>
      </c>
      <c r="Q287" s="1" t="b">
        <f t="shared" si="80"/>
        <v>1</v>
      </c>
      <c r="R287" s="1" t="b">
        <f t="shared" si="81"/>
        <v>1</v>
      </c>
      <c r="S287" s="5">
        <f>Partidas!T287</f>
        <v>12</v>
      </c>
      <c r="T287" s="5">
        <f>Partidas!U287</f>
        <v>5</v>
      </c>
      <c r="U287" s="5">
        <f t="shared" si="82"/>
        <v>17</v>
      </c>
      <c r="V287" s="5" t="b">
        <f t="shared" si="83"/>
        <v>1</v>
      </c>
      <c r="W287" s="5" t="b">
        <f t="shared" si="84"/>
        <v>1</v>
      </c>
      <c r="X287" s="5">
        <f>Partidas!X287</f>
        <v>2</v>
      </c>
      <c r="Y287" s="5">
        <f>Partidas!Y287</f>
        <v>2</v>
      </c>
      <c r="Z287" s="5">
        <f>Partidas!AG287</f>
        <v>0</v>
      </c>
      <c r="AA287" s="5">
        <f>Partidas!AH287</f>
        <v>0</v>
      </c>
      <c r="AB287" s="5">
        <f t="shared" si="85"/>
        <v>4</v>
      </c>
      <c r="AC287" s="1" t="b">
        <f t="shared" si="86"/>
        <v>1</v>
      </c>
      <c r="AD287" s="1" t="b">
        <f t="shared" si="87"/>
        <v>0</v>
      </c>
      <c r="AE287" s="1" t="b">
        <f t="shared" si="88"/>
        <v>0</v>
      </c>
      <c r="AF287" s="1" t="str">
        <f>Partidas!W287</f>
        <v>ok</v>
      </c>
      <c r="AG287" s="1" t="str">
        <f>Partidas!AK287</f>
        <v>ok</v>
      </c>
      <c r="AH287" s="1" t="str">
        <f t="shared" si="89"/>
        <v>Fjelstul World Cup Database + FootyStats CSV</v>
      </c>
      <c r="AI287" s="1">
        <f>Partidas!AX287</f>
        <v>0</v>
      </c>
    </row>
    <row r="288" spans="1:35" ht="15" customHeight="1">
      <c r="A288" s="1" t="str">
        <f>Partidas!C288</f>
        <v>M-2022-31</v>
      </c>
      <c r="B288" s="4">
        <f>Partidas!F288</f>
        <v>44893</v>
      </c>
      <c r="C288" s="1">
        <f>Partidas!A288</f>
        <v>2022</v>
      </c>
      <c r="D288" s="1" t="str">
        <f>Partidas!H288</f>
        <v>Brazil</v>
      </c>
      <c r="E288" s="1" t="str">
        <f>Partidas!I288</f>
        <v>Switzerland</v>
      </c>
      <c r="F288" s="5">
        <f>Partidas!J288</f>
        <v>1</v>
      </c>
      <c r="G288" s="5">
        <f>Partidas!K288</f>
        <v>0</v>
      </c>
      <c r="H288" s="1" t="str">
        <f>Partidas!M288</f>
        <v>H</v>
      </c>
      <c r="I288" s="5">
        <f t="shared" si="72"/>
        <v>1</v>
      </c>
      <c r="J288" s="1" t="b">
        <f t="shared" si="73"/>
        <v>0</v>
      </c>
      <c r="K288" s="1" t="b">
        <f t="shared" si="74"/>
        <v>0</v>
      </c>
      <c r="L288" s="1" t="b">
        <f t="shared" si="75"/>
        <v>0</v>
      </c>
      <c r="M288" s="1" t="b">
        <f t="shared" si="76"/>
        <v>1</v>
      </c>
      <c r="N288" s="1" t="b">
        <f t="shared" si="77"/>
        <v>1</v>
      </c>
      <c r="O288" s="1" t="b">
        <f t="shared" si="78"/>
        <v>0</v>
      </c>
      <c r="P288" s="1" t="b">
        <f t="shared" si="79"/>
        <v>1</v>
      </c>
      <c r="Q288" s="1" t="b">
        <f t="shared" si="80"/>
        <v>1</v>
      </c>
      <c r="R288" s="1" t="b">
        <f t="shared" si="81"/>
        <v>0</v>
      </c>
      <c r="S288" s="5">
        <f>Partidas!T288</f>
        <v>8</v>
      </c>
      <c r="T288" s="5">
        <f>Partidas!U288</f>
        <v>3</v>
      </c>
      <c r="U288" s="5">
        <f t="shared" si="82"/>
        <v>11</v>
      </c>
      <c r="V288" s="5" t="b">
        <f t="shared" si="83"/>
        <v>1</v>
      </c>
      <c r="W288" s="5" t="b">
        <f t="shared" si="84"/>
        <v>1</v>
      </c>
      <c r="X288" s="5">
        <f>Partidas!X288</f>
        <v>1</v>
      </c>
      <c r="Y288" s="5">
        <f>Partidas!Y288</f>
        <v>1</v>
      </c>
      <c r="Z288" s="5">
        <f>Partidas!AG288</f>
        <v>0</v>
      </c>
      <c r="AA288" s="5">
        <f>Partidas!AH288</f>
        <v>0</v>
      </c>
      <c r="AB288" s="5">
        <f t="shared" si="85"/>
        <v>2</v>
      </c>
      <c r="AC288" s="1" t="b">
        <f t="shared" si="86"/>
        <v>0</v>
      </c>
      <c r="AD288" s="1" t="b">
        <f t="shared" si="87"/>
        <v>0</v>
      </c>
      <c r="AE288" s="1" t="b">
        <f t="shared" si="88"/>
        <v>0</v>
      </c>
      <c r="AF288" s="1" t="str">
        <f>Partidas!W288</f>
        <v>ok</v>
      </c>
      <c r="AG288" s="1" t="str">
        <f>Partidas!AK288</f>
        <v>ok</v>
      </c>
      <c r="AH288" s="1" t="str">
        <f t="shared" si="89"/>
        <v>Fjelstul World Cup Database + FootyStats CSV</v>
      </c>
      <c r="AI288" s="1">
        <f>Partidas!AX288</f>
        <v>0</v>
      </c>
    </row>
    <row r="289" spans="1:35" ht="15" customHeight="1">
      <c r="A289" s="1" t="str">
        <f>Partidas!C289</f>
        <v>M-2022-32</v>
      </c>
      <c r="B289" s="4">
        <f>Partidas!F289</f>
        <v>44893</v>
      </c>
      <c r="C289" s="1">
        <f>Partidas!A289</f>
        <v>2022</v>
      </c>
      <c r="D289" s="1" t="str">
        <f>Partidas!H289</f>
        <v>Portugal</v>
      </c>
      <c r="E289" s="1" t="str">
        <f>Partidas!I289</f>
        <v>Uruguay</v>
      </c>
      <c r="F289" s="5">
        <f>Partidas!J289</f>
        <v>2</v>
      </c>
      <c r="G289" s="5">
        <f>Partidas!K289</f>
        <v>0</v>
      </c>
      <c r="H289" s="1" t="str">
        <f>Partidas!M289</f>
        <v>H</v>
      </c>
      <c r="I289" s="5">
        <f t="shared" si="72"/>
        <v>2</v>
      </c>
      <c r="J289" s="1" t="b">
        <f t="shared" si="73"/>
        <v>1</v>
      </c>
      <c r="K289" s="1" t="b">
        <f t="shared" si="74"/>
        <v>0</v>
      </c>
      <c r="L289" s="1" t="b">
        <f t="shared" si="75"/>
        <v>0</v>
      </c>
      <c r="M289" s="1" t="b">
        <f t="shared" si="76"/>
        <v>1</v>
      </c>
      <c r="N289" s="1" t="b">
        <f t="shared" si="77"/>
        <v>1</v>
      </c>
      <c r="O289" s="1" t="b">
        <f t="shared" si="78"/>
        <v>0</v>
      </c>
      <c r="P289" s="1" t="b">
        <f t="shared" si="79"/>
        <v>1</v>
      </c>
      <c r="Q289" s="1" t="b">
        <f t="shared" si="80"/>
        <v>1</v>
      </c>
      <c r="R289" s="1" t="b">
        <f t="shared" si="81"/>
        <v>0</v>
      </c>
      <c r="S289" s="5">
        <f>Partidas!T289</f>
        <v>6</v>
      </c>
      <c r="T289" s="5">
        <f>Partidas!U289</f>
        <v>2</v>
      </c>
      <c r="U289" s="5">
        <f t="shared" si="82"/>
        <v>8</v>
      </c>
      <c r="V289" s="5" t="b">
        <f t="shared" si="83"/>
        <v>0</v>
      </c>
      <c r="W289" s="5" t="b">
        <f t="shared" si="84"/>
        <v>0</v>
      </c>
      <c r="X289" s="5">
        <f>Partidas!X289</f>
        <v>3</v>
      </c>
      <c r="Y289" s="5">
        <f>Partidas!Y289</f>
        <v>2</v>
      </c>
      <c r="Z289" s="5">
        <f>Partidas!AG289</f>
        <v>0</v>
      </c>
      <c r="AA289" s="5">
        <f>Partidas!AH289</f>
        <v>0</v>
      </c>
      <c r="AB289" s="5">
        <f t="shared" si="85"/>
        <v>5</v>
      </c>
      <c r="AC289" s="1" t="b">
        <f t="shared" si="86"/>
        <v>1</v>
      </c>
      <c r="AD289" s="1" t="b">
        <f t="shared" si="87"/>
        <v>1</v>
      </c>
      <c r="AE289" s="1" t="b">
        <f t="shared" si="88"/>
        <v>0</v>
      </c>
      <c r="AF289" s="1" t="str">
        <f>Partidas!W289</f>
        <v>ok</v>
      </c>
      <c r="AG289" s="1" t="str">
        <f>Partidas!AK289</f>
        <v>ok</v>
      </c>
      <c r="AH289" s="1" t="str">
        <f t="shared" si="89"/>
        <v>Fjelstul World Cup Database + FootyStats CSV</v>
      </c>
      <c r="AI289" s="1">
        <f>Partidas!AX289</f>
        <v>0</v>
      </c>
    </row>
    <row r="290" spans="1:35" ht="15" customHeight="1">
      <c r="A290" s="1" t="str">
        <f>Partidas!C290</f>
        <v>M-2022-33</v>
      </c>
      <c r="B290" s="4">
        <f>Partidas!F290</f>
        <v>44894</v>
      </c>
      <c r="C290" s="1">
        <f>Partidas!A290</f>
        <v>2022</v>
      </c>
      <c r="D290" s="1" t="str">
        <f>Partidas!H290</f>
        <v>Ecuador</v>
      </c>
      <c r="E290" s="1" t="str">
        <f>Partidas!I290</f>
        <v>Senegal</v>
      </c>
      <c r="F290" s="5">
        <f>Partidas!J290</f>
        <v>1</v>
      </c>
      <c r="G290" s="5">
        <f>Partidas!K290</f>
        <v>2</v>
      </c>
      <c r="H290" s="1" t="str">
        <f>Partidas!M290</f>
        <v>A</v>
      </c>
      <c r="I290" s="5">
        <f t="shared" si="72"/>
        <v>3</v>
      </c>
      <c r="J290" s="1" t="b">
        <f t="shared" si="73"/>
        <v>1</v>
      </c>
      <c r="K290" s="1" t="b">
        <f t="shared" si="74"/>
        <v>1</v>
      </c>
      <c r="L290" s="1" t="b">
        <f t="shared" si="75"/>
        <v>0</v>
      </c>
      <c r="M290" s="1" t="b">
        <f t="shared" si="76"/>
        <v>0</v>
      </c>
      <c r="N290" s="1" t="b">
        <f t="shared" si="77"/>
        <v>1</v>
      </c>
      <c r="O290" s="1" t="b">
        <f t="shared" si="78"/>
        <v>1</v>
      </c>
      <c r="P290" s="1" t="b">
        <f t="shared" si="79"/>
        <v>0</v>
      </c>
      <c r="Q290" s="1" t="b">
        <f t="shared" si="80"/>
        <v>1</v>
      </c>
      <c r="R290" s="1" t="b">
        <f t="shared" si="81"/>
        <v>1</v>
      </c>
      <c r="S290" s="5">
        <f>Partidas!T290</f>
        <v>3</v>
      </c>
      <c r="T290" s="5">
        <f>Partidas!U290</f>
        <v>6</v>
      </c>
      <c r="U290" s="5">
        <f t="shared" si="82"/>
        <v>9</v>
      </c>
      <c r="V290" s="5" t="b">
        <f t="shared" si="83"/>
        <v>1</v>
      </c>
      <c r="W290" s="5" t="b">
        <f t="shared" si="84"/>
        <v>0</v>
      </c>
      <c r="X290" s="5">
        <f>Partidas!X290</f>
        <v>0</v>
      </c>
      <c r="Y290" s="5">
        <f>Partidas!Y290</f>
        <v>1</v>
      </c>
      <c r="Z290" s="5">
        <f>Partidas!AG290</f>
        <v>0</v>
      </c>
      <c r="AA290" s="5">
        <f>Partidas!AH290</f>
        <v>0</v>
      </c>
      <c r="AB290" s="5">
        <f t="shared" si="85"/>
        <v>1</v>
      </c>
      <c r="AC290" s="1" t="b">
        <f t="shared" si="86"/>
        <v>0</v>
      </c>
      <c r="AD290" s="1" t="b">
        <f t="shared" si="87"/>
        <v>0</v>
      </c>
      <c r="AE290" s="1" t="b">
        <f t="shared" si="88"/>
        <v>0</v>
      </c>
      <c r="AF290" s="1" t="str">
        <f>Partidas!W290</f>
        <v>ok</v>
      </c>
      <c r="AG290" s="1" t="str">
        <f>Partidas!AK290</f>
        <v>ok</v>
      </c>
      <c r="AH290" s="1" t="str">
        <f t="shared" si="89"/>
        <v>Fjelstul World Cup Database + FootyStats CSV</v>
      </c>
      <c r="AI290" s="1">
        <f>Partidas!AX290</f>
        <v>0</v>
      </c>
    </row>
    <row r="291" spans="1:35" ht="15" customHeight="1">
      <c r="A291" s="1" t="str">
        <f>Partidas!C291</f>
        <v>M-2022-34</v>
      </c>
      <c r="B291" s="4">
        <f>Partidas!F291</f>
        <v>44894</v>
      </c>
      <c r="C291" s="1">
        <f>Partidas!A291</f>
        <v>2022</v>
      </c>
      <c r="D291" s="1" t="str">
        <f>Partidas!H291</f>
        <v>Netherlands</v>
      </c>
      <c r="E291" s="1" t="str">
        <f>Partidas!I291</f>
        <v>Qatar</v>
      </c>
      <c r="F291" s="5">
        <f>Partidas!J291</f>
        <v>2</v>
      </c>
      <c r="G291" s="5">
        <f>Partidas!K291</f>
        <v>0</v>
      </c>
      <c r="H291" s="1" t="str">
        <f>Partidas!M291</f>
        <v>H</v>
      </c>
      <c r="I291" s="5">
        <f t="shared" si="72"/>
        <v>2</v>
      </c>
      <c r="J291" s="1" t="b">
        <f t="shared" si="73"/>
        <v>1</v>
      </c>
      <c r="K291" s="1" t="b">
        <f t="shared" si="74"/>
        <v>0</v>
      </c>
      <c r="L291" s="1" t="b">
        <f t="shared" si="75"/>
        <v>0</v>
      </c>
      <c r="M291" s="1" t="b">
        <f t="shared" si="76"/>
        <v>1</v>
      </c>
      <c r="N291" s="1" t="b">
        <f t="shared" si="77"/>
        <v>1</v>
      </c>
      <c r="O291" s="1" t="b">
        <f t="shared" si="78"/>
        <v>0</v>
      </c>
      <c r="P291" s="1" t="b">
        <f t="shared" si="79"/>
        <v>1</v>
      </c>
      <c r="Q291" s="1" t="b">
        <f t="shared" si="80"/>
        <v>1</v>
      </c>
      <c r="R291" s="1" t="b">
        <f t="shared" si="81"/>
        <v>0</v>
      </c>
      <c r="S291" s="5">
        <f>Partidas!T291</f>
        <v>4</v>
      </c>
      <c r="T291" s="5">
        <f>Partidas!U291</f>
        <v>2</v>
      </c>
      <c r="U291" s="5">
        <f t="shared" si="82"/>
        <v>6</v>
      </c>
      <c r="V291" s="5" t="b">
        <f t="shared" si="83"/>
        <v>0</v>
      </c>
      <c r="W291" s="5" t="b">
        <f t="shared" si="84"/>
        <v>0</v>
      </c>
      <c r="X291" s="5">
        <f>Partidas!X291</f>
        <v>1</v>
      </c>
      <c r="Y291" s="5">
        <f>Partidas!Y291</f>
        <v>0</v>
      </c>
      <c r="Z291" s="5">
        <f>Partidas!AG291</f>
        <v>0</v>
      </c>
      <c r="AA291" s="5">
        <f>Partidas!AH291</f>
        <v>0</v>
      </c>
      <c r="AB291" s="5">
        <f t="shared" si="85"/>
        <v>1</v>
      </c>
      <c r="AC291" s="1" t="b">
        <f t="shared" si="86"/>
        <v>0</v>
      </c>
      <c r="AD291" s="1" t="b">
        <f t="shared" si="87"/>
        <v>0</v>
      </c>
      <c r="AE291" s="1" t="b">
        <f t="shared" si="88"/>
        <v>0</v>
      </c>
      <c r="AF291" s="1" t="str">
        <f>Partidas!W291</f>
        <v>ok</v>
      </c>
      <c r="AG291" s="1" t="str">
        <f>Partidas!AK291</f>
        <v>ok</v>
      </c>
      <c r="AH291" s="1" t="str">
        <f t="shared" si="89"/>
        <v>Fjelstul World Cup Database + FootyStats CSV</v>
      </c>
      <c r="AI291" s="1">
        <f>Partidas!AX291</f>
        <v>0</v>
      </c>
    </row>
    <row r="292" spans="1:35" ht="15" customHeight="1">
      <c r="A292" s="1" t="str">
        <f>Partidas!C292</f>
        <v>M-2022-35</v>
      </c>
      <c r="B292" s="4">
        <f>Partidas!F292</f>
        <v>44894</v>
      </c>
      <c r="C292" s="1">
        <f>Partidas!A292</f>
        <v>2022</v>
      </c>
      <c r="D292" s="1" t="str">
        <f>Partidas!H292</f>
        <v>Iran</v>
      </c>
      <c r="E292" s="1" t="str">
        <f>Partidas!I292</f>
        <v>United States</v>
      </c>
      <c r="F292" s="5">
        <f>Partidas!J292</f>
        <v>0</v>
      </c>
      <c r="G292" s="5">
        <f>Partidas!K292</f>
        <v>1</v>
      </c>
      <c r="H292" s="1" t="str">
        <f>Partidas!M292</f>
        <v>A</v>
      </c>
      <c r="I292" s="5">
        <f t="shared" si="72"/>
        <v>1</v>
      </c>
      <c r="J292" s="1" t="b">
        <f t="shared" si="73"/>
        <v>0</v>
      </c>
      <c r="K292" s="1" t="b">
        <f t="shared" si="74"/>
        <v>0</v>
      </c>
      <c r="L292" s="1" t="b">
        <f t="shared" si="75"/>
        <v>0</v>
      </c>
      <c r="M292" s="1" t="b">
        <f t="shared" si="76"/>
        <v>1</v>
      </c>
      <c r="N292" s="1" t="b">
        <f t="shared" si="77"/>
        <v>1</v>
      </c>
      <c r="O292" s="1" t="b">
        <f t="shared" si="78"/>
        <v>0</v>
      </c>
      <c r="P292" s="1" t="b">
        <f t="shared" si="79"/>
        <v>0</v>
      </c>
      <c r="Q292" s="1" t="b">
        <f t="shared" si="80"/>
        <v>1</v>
      </c>
      <c r="R292" s="1" t="b">
        <f t="shared" si="81"/>
        <v>1</v>
      </c>
      <c r="S292" s="5">
        <f>Partidas!T292</f>
        <v>1</v>
      </c>
      <c r="T292" s="5">
        <f>Partidas!U292</f>
        <v>5</v>
      </c>
      <c r="U292" s="5">
        <f t="shared" si="82"/>
        <v>6</v>
      </c>
      <c r="V292" s="5" t="b">
        <f t="shared" si="83"/>
        <v>0</v>
      </c>
      <c r="W292" s="5" t="b">
        <f t="shared" si="84"/>
        <v>0</v>
      </c>
      <c r="X292" s="5">
        <f>Partidas!X292</f>
        <v>3</v>
      </c>
      <c r="Y292" s="5">
        <f>Partidas!Y292</f>
        <v>1</v>
      </c>
      <c r="Z292" s="5">
        <f>Partidas!AG292</f>
        <v>0</v>
      </c>
      <c r="AA292" s="5">
        <f>Partidas!AH292</f>
        <v>0</v>
      </c>
      <c r="AB292" s="5">
        <f t="shared" si="85"/>
        <v>4</v>
      </c>
      <c r="AC292" s="1" t="b">
        <f t="shared" si="86"/>
        <v>1</v>
      </c>
      <c r="AD292" s="1" t="b">
        <f t="shared" si="87"/>
        <v>0</v>
      </c>
      <c r="AE292" s="1" t="b">
        <f t="shared" si="88"/>
        <v>0</v>
      </c>
      <c r="AF292" s="1" t="str">
        <f>Partidas!W292</f>
        <v>ok</v>
      </c>
      <c r="AG292" s="1" t="str">
        <f>Partidas!AK292</f>
        <v>ok</v>
      </c>
      <c r="AH292" s="1" t="str">
        <f t="shared" si="89"/>
        <v>Fjelstul World Cup Database + FootyStats CSV</v>
      </c>
      <c r="AI292" s="1">
        <f>Partidas!AX292</f>
        <v>0</v>
      </c>
    </row>
    <row r="293" spans="1:35" ht="15" customHeight="1">
      <c r="A293" s="1" t="str">
        <f>Partidas!C293</f>
        <v>M-2022-36</v>
      </c>
      <c r="B293" s="4">
        <f>Partidas!F293</f>
        <v>44894</v>
      </c>
      <c r="C293" s="1">
        <f>Partidas!A293</f>
        <v>2022</v>
      </c>
      <c r="D293" s="1" t="str">
        <f>Partidas!H293</f>
        <v>Wales</v>
      </c>
      <c r="E293" s="1" t="str">
        <f>Partidas!I293</f>
        <v>England</v>
      </c>
      <c r="F293" s="5">
        <f>Partidas!J293</f>
        <v>0</v>
      </c>
      <c r="G293" s="5">
        <f>Partidas!K293</f>
        <v>3</v>
      </c>
      <c r="H293" s="1" t="str">
        <f>Partidas!M293</f>
        <v>A</v>
      </c>
      <c r="I293" s="5">
        <f t="shared" si="72"/>
        <v>3</v>
      </c>
      <c r="J293" s="1" t="b">
        <f t="shared" si="73"/>
        <v>1</v>
      </c>
      <c r="K293" s="1" t="b">
        <f t="shared" si="74"/>
        <v>1</v>
      </c>
      <c r="L293" s="1" t="b">
        <f t="shared" si="75"/>
        <v>0</v>
      </c>
      <c r="M293" s="1" t="b">
        <f t="shared" si="76"/>
        <v>0</v>
      </c>
      <c r="N293" s="1" t="b">
        <f t="shared" si="77"/>
        <v>1</v>
      </c>
      <c r="O293" s="1" t="b">
        <f t="shared" si="78"/>
        <v>0</v>
      </c>
      <c r="P293" s="1" t="b">
        <f t="shared" si="79"/>
        <v>0</v>
      </c>
      <c r="Q293" s="1" t="b">
        <f t="shared" si="80"/>
        <v>1</v>
      </c>
      <c r="R293" s="1" t="b">
        <f t="shared" si="81"/>
        <v>1</v>
      </c>
      <c r="S293" s="5">
        <f>Partidas!T293</f>
        <v>1</v>
      </c>
      <c r="T293" s="5">
        <f>Partidas!U293</f>
        <v>6</v>
      </c>
      <c r="U293" s="5">
        <f t="shared" si="82"/>
        <v>7</v>
      </c>
      <c r="V293" s="5" t="b">
        <f t="shared" si="83"/>
        <v>0</v>
      </c>
      <c r="W293" s="5" t="b">
        <f t="shared" si="84"/>
        <v>0</v>
      </c>
      <c r="X293" s="5">
        <f>Partidas!X293</f>
        <v>2</v>
      </c>
      <c r="Y293" s="5">
        <f>Partidas!Y293</f>
        <v>0</v>
      </c>
      <c r="Z293" s="5">
        <f>Partidas!AG293</f>
        <v>0</v>
      </c>
      <c r="AA293" s="5">
        <f>Partidas!AH293</f>
        <v>0</v>
      </c>
      <c r="AB293" s="5">
        <f t="shared" si="85"/>
        <v>2</v>
      </c>
      <c r="AC293" s="1" t="b">
        <f t="shared" si="86"/>
        <v>0</v>
      </c>
      <c r="AD293" s="1" t="b">
        <f t="shared" si="87"/>
        <v>0</v>
      </c>
      <c r="AE293" s="1" t="b">
        <f t="shared" si="88"/>
        <v>0</v>
      </c>
      <c r="AF293" s="1" t="str">
        <f>Partidas!W293</f>
        <v>ok</v>
      </c>
      <c r="AG293" s="1" t="str">
        <f>Partidas!AK293</f>
        <v>ok</v>
      </c>
      <c r="AH293" s="1" t="str">
        <f t="shared" si="89"/>
        <v>Fjelstul World Cup Database + FootyStats CSV</v>
      </c>
      <c r="AI293" s="1">
        <f>Partidas!AX293</f>
        <v>0</v>
      </c>
    </row>
    <row r="294" spans="1:35" ht="15" customHeight="1">
      <c r="A294" s="1" t="str">
        <f>Partidas!C294</f>
        <v>M-2022-37</v>
      </c>
      <c r="B294" s="4">
        <f>Partidas!F294</f>
        <v>44895</v>
      </c>
      <c r="C294" s="1">
        <f>Partidas!A294</f>
        <v>2022</v>
      </c>
      <c r="D294" s="1" t="str">
        <f>Partidas!H294</f>
        <v>Australia</v>
      </c>
      <c r="E294" s="1" t="str">
        <f>Partidas!I294</f>
        <v>Denmark</v>
      </c>
      <c r="F294" s="5">
        <f>Partidas!J294</f>
        <v>1</v>
      </c>
      <c r="G294" s="5">
        <f>Partidas!K294</f>
        <v>0</v>
      </c>
      <c r="H294" s="1" t="str">
        <f>Partidas!M294</f>
        <v>H</v>
      </c>
      <c r="I294" s="5">
        <f t="shared" si="72"/>
        <v>1</v>
      </c>
      <c r="J294" s="1" t="b">
        <f t="shared" si="73"/>
        <v>0</v>
      </c>
      <c r="K294" s="1" t="b">
        <f t="shared" si="74"/>
        <v>0</v>
      </c>
      <c r="L294" s="1" t="b">
        <f t="shared" si="75"/>
        <v>0</v>
      </c>
      <c r="M294" s="1" t="b">
        <f t="shared" si="76"/>
        <v>1</v>
      </c>
      <c r="N294" s="1" t="b">
        <f t="shared" si="77"/>
        <v>1</v>
      </c>
      <c r="O294" s="1" t="b">
        <f t="shared" si="78"/>
        <v>0</v>
      </c>
      <c r="P294" s="1" t="b">
        <f t="shared" si="79"/>
        <v>1</v>
      </c>
      <c r="Q294" s="1" t="b">
        <f t="shared" si="80"/>
        <v>1</v>
      </c>
      <c r="R294" s="1" t="b">
        <f t="shared" si="81"/>
        <v>0</v>
      </c>
      <c r="S294" s="5">
        <f>Partidas!T294</f>
        <v>2</v>
      </c>
      <c r="T294" s="5">
        <f>Partidas!U294</f>
        <v>6</v>
      </c>
      <c r="U294" s="5">
        <f t="shared" si="82"/>
        <v>8</v>
      </c>
      <c r="V294" s="5" t="b">
        <f t="shared" si="83"/>
        <v>0</v>
      </c>
      <c r="W294" s="5" t="b">
        <f t="shared" si="84"/>
        <v>0</v>
      </c>
      <c r="X294" s="5">
        <f>Partidas!X294</f>
        <v>2</v>
      </c>
      <c r="Y294" s="5">
        <f>Partidas!Y294</f>
        <v>1</v>
      </c>
      <c r="Z294" s="5">
        <f>Partidas!AG294</f>
        <v>0</v>
      </c>
      <c r="AA294" s="5">
        <f>Partidas!AH294</f>
        <v>0</v>
      </c>
      <c r="AB294" s="5">
        <f t="shared" si="85"/>
        <v>3</v>
      </c>
      <c r="AC294" s="1" t="b">
        <f t="shared" si="86"/>
        <v>0</v>
      </c>
      <c r="AD294" s="1" t="b">
        <f t="shared" si="87"/>
        <v>0</v>
      </c>
      <c r="AE294" s="1" t="b">
        <f t="shared" si="88"/>
        <v>0</v>
      </c>
      <c r="AF294" s="1" t="str">
        <f>Partidas!W294</f>
        <v>ok</v>
      </c>
      <c r="AG294" s="1" t="str">
        <f>Partidas!AK294</f>
        <v>ok</v>
      </c>
      <c r="AH294" s="1" t="str">
        <f t="shared" si="89"/>
        <v>Fjelstul World Cup Database + FootyStats CSV</v>
      </c>
      <c r="AI294" s="1">
        <f>Partidas!AX294</f>
        <v>0</v>
      </c>
    </row>
    <row r="295" spans="1:35" ht="15" customHeight="1">
      <c r="A295" s="1" t="str">
        <f>Partidas!C295</f>
        <v>M-2022-38</v>
      </c>
      <c r="B295" s="4">
        <f>Partidas!F295</f>
        <v>44895</v>
      </c>
      <c r="C295" s="1">
        <f>Partidas!A295</f>
        <v>2022</v>
      </c>
      <c r="D295" s="1" t="str">
        <f>Partidas!H295</f>
        <v>Tunisia</v>
      </c>
      <c r="E295" s="1" t="str">
        <f>Partidas!I295</f>
        <v>France</v>
      </c>
      <c r="F295" s="5">
        <f>Partidas!J295</f>
        <v>1</v>
      </c>
      <c r="G295" s="5">
        <f>Partidas!K295</f>
        <v>0</v>
      </c>
      <c r="H295" s="1" t="str">
        <f>Partidas!M295</f>
        <v>H</v>
      </c>
      <c r="I295" s="5">
        <f t="shared" si="72"/>
        <v>1</v>
      </c>
      <c r="J295" s="1" t="b">
        <f t="shared" si="73"/>
        <v>0</v>
      </c>
      <c r="K295" s="1" t="b">
        <f t="shared" si="74"/>
        <v>0</v>
      </c>
      <c r="L295" s="1" t="b">
        <f t="shared" si="75"/>
        <v>0</v>
      </c>
      <c r="M295" s="1" t="b">
        <f t="shared" si="76"/>
        <v>1</v>
      </c>
      <c r="N295" s="1" t="b">
        <f t="shared" si="77"/>
        <v>1</v>
      </c>
      <c r="O295" s="1" t="b">
        <f t="shared" si="78"/>
        <v>0</v>
      </c>
      <c r="P295" s="1" t="b">
        <f t="shared" si="79"/>
        <v>1</v>
      </c>
      <c r="Q295" s="1" t="b">
        <f t="shared" si="80"/>
        <v>1</v>
      </c>
      <c r="R295" s="1" t="b">
        <f t="shared" si="81"/>
        <v>0</v>
      </c>
      <c r="S295" s="5">
        <f>Partidas!T295</f>
        <v>7</v>
      </c>
      <c r="T295" s="5">
        <f>Partidas!U295</f>
        <v>8</v>
      </c>
      <c r="U295" s="5">
        <f t="shared" si="82"/>
        <v>15</v>
      </c>
      <c r="V295" s="5" t="b">
        <f t="shared" si="83"/>
        <v>1</v>
      </c>
      <c r="W295" s="5" t="b">
        <f t="shared" si="84"/>
        <v>1</v>
      </c>
      <c r="X295" s="5">
        <f>Partidas!X295</f>
        <v>1</v>
      </c>
      <c r="Y295" s="5">
        <f>Partidas!Y295</f>
        <v>0</v>
      </c>
      <c r="Z295" s="5">
        <f>Partidas!AG295</f>
        <v>0</v>
      </c>
      <c r="AA295" s="5">
        <f>Partidas!AH295</f>
        <v>0</v>
      </c>
      <c r="AB295" s="5">
        <f t="shared" si="85"/>
        <v>1</v>
      </c>
      <c r="AC295" s="1" t="b">
        <f t="shared" si="86"/>
        <v>0</v>
      </c>
      <c r="AD295" s="1" t="b">
        <f t="shared" si="87"/>
        <v>0</v>
      </c>
      <c r="AE295" s="1" t="b">
        <f t="shared" si="88"/>
        <v>0</v>
      </c>
      <c r="AF295" s="1" t="str">
        <f>Partidas!W295</f>
        <v>ok</v>
      </c>
      <c r="AG295" s="1" t="str">
        <f>Partidas!AK295</f>
        <v>ok</v>
      </c>
      <c r="AH295" s="1" t="str">
        <f t="shared" si="89"/>
        <v>Fjelstul World Cup Database + FootyStats CSV</v>
      </c>
      <c r="AI295" s="1">
        <f>Partidas!AX295</f>
        <v>0</v>
      </c>
    </row>
    <row r="296" spans="1:35" ht="15" customHeight="1">
      <c r="A296" s="1" t="str">
        <f>Partidas!C296</f>
        <v>M-2022-39</v>
      </c>
      <c r="B296" s="4">
        <f>Partidas!F296</f>
        <v>44895</v>
      </c>
      <c r="C296" s="1">
        <f>Partidas!A296</f>
        <v>2022</v>
      </c>
      <c r="D296" s="1" t="str">
        <f>Partidas!H296</f>
        <v>Poland</v>
      </c>
      <c r="E296" s="1" t="str">
        <f>Partidas!I296</f>
        <v>Argentina</v>
      </c>
      <c r="F296" s="5">
        <f>Partidas!J296</f>
        <v>0</v>
      </c>
      <c r="G296" s="5">
        <f>Partidas!K296</f>
        <v>2</v>
      </c>
      <c r="H296" s="1" t="str">
        <f>Partidas!M296</f>
        <v>A</v>
      </c>
      <c r="I296" s="5">
        <f t="shared" si="72"/>
        <v>2</v>
      </c>
      <c r="J296" s="1" t="b">
        <f t="shared" si="73"/>
        <v>1</v>
      </c>
      <c r="K296" s="1" t="b">
        <f t="shared" si="74"/>
        <v>0</v>
      </c>
      <c r="L296" s="1" t="b">
        <f t="shared" si="75"/>
        <v>0</v>
      </c>
      <c r="M296" s="1" t="b">
        <f t="shared" si="76"/>
        <v>1</v>
      </c>
      <c r="N296" s="1" t="b">
        <f t="shared" si="77"/>
        <v>1</v>
      </c>
      <c r="O296" s="1" t="b">
        <f t="shared" si="78"/>
        <v>0</v>
      </c>
      <c r="P296" s="1" t="b">
        <f t="shared" si="79"/>
        <v>0</v>
      </c>
      <c r="Q296" s="1" t="b">
        <f t="shared" si="80"/>
        <v>1</v>
      </c>
      <c r="R296" s="1" t="b">
        <f t="shared" si="81"/>
        <v>1</v>
      </c>
      <c r="S296" s="5">
        <f>Partidas!T296</f>
        <v>1</v>
      </c>
      <c r="T296" s="5">
        <f>Partidas!U296</f>
        <v>9</v>
      </c>
      <c r="U296" s="5">
        <f t="shared" si="82"/>
        <v>10</v>
      </c>
      <c r="V296" s="5" t="b">
        <f t="shared" si="83"/>
        <v>1</v>
      </c>
      <c r="W296" s="5" t="b">
        <f t="shared" si="84"/>
        <v>1</v>
      </c>
      <c r="X296" s="5">
        <f>Partidas!X296</f>
        <v>1</v>
      </c>
      <c r="Y296" s="5">
        <f>Partidas!Y296</f>
        <v>1</v>
      </c>
      <c r="Z296" s="5">
        <f>Partidas!AG296</f>
        <v>0</v>
      </c>
      <c r="AA296" s="5">
        <f>Partidas!AH296</f>
        <v>0</v>
      </c>
      <c r="AB296" s="5">
        <f t="shared" si="85"/>
        <v>2</v>
      </c>
      <c r="AC296" s="1" t="b">
        <f t="shared" si="86"/>
        <v>0</v>
      </c>
      <c r="AD296" s="1" t="b">
        <f t="shared" si="87"/>
        <v>0</v>
      </c>
      <c r="AE296" s="1" t="b">
        <f t="shared" si="88"/>
        <v>0</v>
      </c>
      <c r="AF296" s="1" t="str">
        <f>Partidas!W296</f>
        <v>ok</v>
      </c>
      <c r="AG296" s="1" t="str">
        <f>Partidas!AK296</f>
        <v>ok</v>
      </c>
      <c r="AH296" s="1" t="str">
        <f t="shared" si="89"/>
        <v>Fjelstul World Cup Database + FootyStats CSV</v>
      </c>
      <c r="AI296" s="1">
        <f>Partidas!AX296</f>
        <v>0</v>
      </c>
    </row>
    <row r="297" spans="1:35" ht="15" customHeight="1">
      <c r="A297" s="1" t="str">
        <f>Partidas!C297</f>
        <v>M-2022-40</v>
      </c>
      <c r="B297" s="4">
        <f>Partidas!F297</f>
        <v>44895</v>
      </c>
      <c r="C297" s="1">
        <f>Partidas!A297</f>
        <v>2022</v>
      </c>
      <c r="D297" s="1" t="str">
        <f>Partidas!H297</f>
        <v>Saudi Arabia</v>
      </c>
      <c r="E297" s="1" t="str">
        <f>Partidas!I297</f>
        <v>Mexico</v>
      </c>
      <c r="F297" s="5">
        <f>Partidas!J297</f>
        <v>1</v>
      </c>
      <c r="G297" s="5">
        <f>Partidas!K297</f>
        <v>2</v>
      </c>
      <c r="H297" s="1" t="str">
        <f>Partidas!M297</f>
        <v>A</v>
      </c>
      <c r="I297" s="5">
        <f t="shared" si="72"/>
        <v>3</v>
      </c>
      <c r="J297" s="1" t="b">
        <f t="shared" si="73"/>
        <v>1</v>
      </c>
      <c r="K297" s="1" t="b">
        <f t="shared" si="74"/>
        <v>1</v>
      </c>
      <c r="L297" s="1" t="b">
        <f t="shared" si="75"/>
        <v>0</v>
      </c>
      <c r="M297" s="1" t="b">
        <f t="shared" si="76"/>
        <v>0</v>
      </c>
      <c r="N297" s="1" t="b">
        <f t="shared" si="77"/>
        <v>1</v>
      </c>
      <c r="O297" s="1" t="b">
        <f t="shared" si="78"/>
        <v>1</v>
      </c>
      <c r="P297" s="1" t="b">
        <f t="shared" si="79"/>
        <v>0</v>
      </c>
      <c r="Q297" s="1" t="b">
        <f t="shared" si="80"/>
        <v>1</v>
      </c>
      <c r="R297" s="1" t="b">
        <f t="shared" si="81"/>
        <v>1</v>
      </c>
      <c r="S297" s="5">
        <f>Partidas!T297</f>
        <v>1</v>
      </c>
      <c r="T297" s="5">
        <f>Partidas!U297</f>
        <v>8</v>
      </c>
      <c r="U297" s="5">
        <f t="shared" si="82"/>
        <v>9</v>
      </c>
      <c r="V297" s="5" t="b">
        <f t="shared" si="83"/>
        <v>1</v>
      </c>
      <c r="W297" s="5" t="b">
        <f t="shared" si="84"/>
        <v>0</v>
      </c>
      <c r="X297" s="5">
        <f>Partidas!X297</f>
        <v>6</v>
      </c>
      <c r="Y297" s="5">
        <f>Partidas!Y297</f>
        <v>1</v>
      </c>
      <c r="Z297" s="5">
        <f>Partidas!AG297</f>
        <v>0</v>
      </c>
      <c r="AA297" s="5">
        <f>Partidas!AH297</f>
        <v>0</v>
      </c>
      <c r="AB297" s="5">
        <f t="shared" si="85"/>
        <v>7</v>
      </c>
      <c r="AC297" s="1" t="b">
        <f t="shared" si="86"/>
        <v>1</v>
      </c>
      <c r="AD297" s="1" t="b">
        <f t="shared" si="87"/>
        <v>1</v>
      </c>
      <c r="AE297" s="1" t="b">
        <f t="shared" si="88"/>
        <v>1</v>
      </c>
      <c r="AF297" s="1" t="str">
        <f>Partidas!W297</f>
        <v>ok</v>
      </c>
      <c r="AG297" s="1" t="str">
        <f>Partidas!AK297</f>
        <v>ok</v>
      </c>
      <c r="AH297" s="1" t="str">
        <f t="shared" si="89"/>
        <v>Fjelstul World Cup Database + FootyStats CSV</v>
      </c>
      <c r="AI297" s="1">
        <f>Partidas!AX297</f>
        <v>0</v>
      </c>
    </row>
    <row r="298" spans="1:35" ht="15" customHeight="1">
      <c r="A298" s="1" t="str">
        <f>Partidas!C298</f>
        <v>M-2022-41</v>
      </c>
      <c r="B298" s="4">
        <f>Partidas!F298</f>
        <v>44896</v>
      </c>
      <c r="C298" s="1">
        <f>Partidas!A298</f>
        <v>2022</v>
      </c>
      <c r="D298" s="1" t="str">
        <f>Partidas!H298</f>
        <v>Canada</v>
      </c>
      <c r="E298" s="1" t="str">
        <f>Partidas!I298</f>
        <v>Morocco</v>
      </c>
      <c r="F298" s="5">
        <f>Partidas!J298</f>
        <v>1</v>
      </c>
      <c r="G298" s="5">
        <f>Partidas!K298</f>
        <v>2</v>
      </c>
      <c r="H298" s="1" t="str">
        <f>Partidas!M298</f>
        <v>A</v>
      </c>
      <c r="I298" s="5">
        <f t="shared" si="72"/>
        <v>3</v>
      </c>
      <c r="J298" s="1" t="b">
        <f t="shared" si="73"/>
        <v>1</v>
      </c>
      <c r="K298" s="1" t="b">
        <f t="shared" si="74"/>
        <v>1</v>
      </c>
      <c r="L298" s="1" t="b">
        <f t="shared" si="75"/>
        <v>0</v>
      </c>
      <c r="M298" s="1" t="b">
        <f t="shared" si="76"/>
        <v>0</v>
      </c>
      <c r="N298" s="1" t="b">
        <f t="shared" si="77"/>
        <v>1</v>
      </c>
      <c r="O298" s="1" t="b">
        <f t="shared" si="78"/>
        <v>1</v>
      </c>
      <c r="P298" s="1" t="b">
        <f t="shared" si="79"/>
        <v>0</v>
      </c>
      <c r="Q298" s="1" t="b">
        <f t="shared" si="80"/>
        <v>1</v>
      </c>
      <c r="R298" s="1" t="b">
        <f t="shared" si="81"/>
        <v>1</v>
      </c>
      <c r="S298" s="5">
        <f>Partidas!T298</f>
        <v>6</v>
      </c>
      <c r="T298" s="5">
        <f>Partidas!U298</f>
        <v>2</v>
      </c>
      <c r="U298" s="5">
        <f t="shared" si="82"/>
        <v>8</v>
      </c>
      <c r="V298" s="5" t="b">
        <f t="shared" si="83"/>
        <v>0</v>
      </c>
      <c r="W298" s="5" t="b">
        <f t="shared" si="84"/>
        <v>0</v>
      </c>
      <c r="X298" s="5">
        <f>Partidas!X298</f>
        <v>4</v>
      </c>
      <c r="Y298" s="5">
        <f>Partidas!Y298</f>
        <v>0</v>
      </c>
      <c r="Z298" s="5">
        <f>Partidas!AG298</f>
        <v>0</v>
      </c>
      <c r="AA298" s="5">
        <f>Partidas!AH298</f>
        <v>0</v>
      </c>
      <c r="AB298" s="5">
        <f t="shared" si="85"/>
        <v>4</v>
      </c>
      <c r="AC298" s="1" t="b">
        <f t="shared" si="86"/>
        <v>1</v>
      </c>
      <c r="AD298" s="1" t="b">
        <f t="shared" si="87"/>
        <v>0</v>
      </c>
      <c r="AE298" s="1" t="b">
        <f t="shared" si="88"/>
        <v>0</v>
      </c>
      <c r="AF298" s="1" t="str">
        <f>Partidas!W298</f>
        <v>ok</v>
      </c>
      <c r="AG298" s="1" t="str">
        <f>Partidas!AK298</f>
        <v>ok</v>
      </c>
      <c r="AH298" s="1" t="str">
        <f t="shared" si="89"/>
        <v>Fjelstul World Cup Database + FootyStats CSV</v>
      </c>
      <c r="AI298" s="1">
        <f>Partidas!AX298</f>
        <v>0</v>
      </c>
    </row>
    <row r="299" spans="1:35" ht="15" customHeight="1">
      <c r="A299" s="1" t="str">
        <f>Partidas!C299</f>
        <v>M-2022-42</v>
      </c>
      <c r="B299" s="4">
        <f>Partidas!F299</f>
        <v>44896</v>
      </c>
      <c r="C299" s="1">
        <f>Partidas!A299</f>
        <v>2022</v>
      </c>
      <c r="D299" s="1" t="str">
        <f>Partidas!H299</f>
        <v>Croatia</v>
      </c>
      <c r="E299" s="1" t="str">
        <f>Partidas!I299</f>
        <v>Belgium</v>
      </c>
      <c r="F299" s="5">
        <f>Partidas!J299</f>
        <v>0</v>
      </c>
      <c r="G299" s="5">
        <f>Partidas!K299</f>
        <v>0</v>
      </c>
      <c r="H299" s="1" t="str">
        <f>Partidas!M299</f>
        <v>D</v>
      </c>
      <c r="I299" s="5">
        <f t="shared" si="72"/>
        <v>0</v>
      </c>
      <c r="J299" s="1" t="b">
        <f t="shared" si="73"/>
        <v>0</v>
      </c>
      <c r="K299" s="1" t="b">
        <f t="shared" si="74"/>
        <v>0</v>
      </c>
      <c r="L299" s="1" t="b">
        <f t="shared" si="75"/>
        <v>0</v>
      </c>
      <c r="M299" s="1" t="b">
        <f t="shared" si="76"/>
        <v>1</v>
      </c>
      <c r="N299" s="1" t="b">
        <f t="shared" si="77"/>
        <v>1</v>
      </c>
      <c r="O299" s="1" t="b">
        <f t="shared" si="78"/>
        <v>0</v>
      </c>
      <c r="P299" s="1" t="b">
        <f t="shared" si="79"/>
        <v>1</v>
      </c>
      <c r="Q299" s="1" t="b">
        <f t="shared" si="80"/>
        <v>0</v>
      </c>
      <c r="R299" s="1" t="b">
        <f t="shared" si="81"/>
        <v>1</v>
      </c>
      <c r="S299" s="5">
        <f>Partidas!T299</f>
        <v>2</v>
      </c>
      <c r="T299" s="5">
        <f>Partidas!U299</f>
        <v>4</v>
      </c>
      <c r="U299" s="5">
        <f t="shared" si="82"/>
        <v>6</v>
      </c>
      <c r="V299" s="5" t="b">
        <f t="shared" si="83"/>
        <v>0</v>
      </c>
      <c r="W299" s="5" t="b">
        <f t="shared" si="84"/>
        <v>0</v>
      </c>
      <c r="X299" s="5">
        <f>Partidas!X299</f>
        <v>0</v>
      </c>
      <c r="Y299" s="5">
        <f>Partidas!Y299</f>
        <v>1</v>
      </c>
      <c r="Z299" s="5">
        <f>Partidas!AG299</f>
        <v>0</v>
      </c>
      <c r="AA299" s="5">
        <f>Partidas!AH299</f>
        <v>0</v>
      </c>
      <c r="AB299" s="5">
        <f t="shared" si="85"/>
        <v>1</v>
      </c>
      <c r="AC299" s="1" t="b">
        <f t="shared" si="86"/>
        <v>0</v>
      </c>
      <c r="AD299" s="1" t="b">
        <f t="shared" si="87"/>
        <v>0</v>
      </c>
      <c r="AE299" s="1" t="b">
        <f t="shared" si="88"/>
        <v>0</v>
      </c>
      <c r="AF299" s="1" t="str">
        <f>Partidas!W299</f>
        <v>ok</v>
      </c>
      <c r="AG299" s="1" t="str">
        <f>Partidas!AK299</f>
        <v>ok</v>
      </c>
      <c r="AH299" s="1" t="str">
        <f t="shared" si="89"/>
        <v>Fjelstul World Cup Database + FootyStats CSV</v>
      </c>
      <c r="AI299" s="1">
        <f>Partidas!AX299</f>
        <v>0</v>
      </c>
    </row>
    <row r="300" spans="1:35" ht="15" customHeight="1">
      <c r="A300" s="1" t="str">
        <f>Partidas!C300</f>
        <v>M-2022-43</v>
      </c>
      <c r="B300" s="4">
        <f>Partidas!F300</f>
        <v>44896</v>
      </c>
      <c r="C300" s="1">
        <f>Partidas!A300</f>
        <v>2022</v>
      </c>
      <c r="D300" s="1" t="str">
        <f>Partidas!H300</f>
        <v>Costa Rica</v>
      </c>
      <c r="E300" s="1" t="str">
        <f>Partidas!I300</f>
        <v>Germany</v>
      </c>
      <c r="F300" s="5">
        <f>Partidas!J300</f>
        <v>2</v>
      </c>
      <c r="G300" s="5">
        <f>Partidas!K300</f>
        <v>4</v>
      </c>
      <c r="H300" s="1" t="str">
        <f>Partidas!M300</f>
        <v>A</v>
      </c>
      <c r="I300" s="5">
        <f t="shared" si="72"/>
        <v>6</v>
      </c>
      <c r="J300" s="1" t="b">
        <f t="shared" si="73"/>
        <v>1</v>
      </c>
      <c r="K300" s="1" t="b">
        <f t="shared" si="74"/>
        <v>1</v>
      </c>
      <c r="L300" s="1" t="b">
        <f t="shared" si="75"/>
        <v>1</v>
      </c>
      <c r="M300" s="1" t="b">
        <f t="shared" si="76"/>
        <v>0</v>
      </c>
      <c r="N300" s="1" t="b">
        <f t="shared" si="77"/>
        <v>0</v>
      </c>
      <c r="O300" s="1" t="b">
        <f t="shared" si="78"/>
        <v>1</v>
      </c>
      <c r="P300" s="1" t="b">
        <f t="shared" si="79"/>
        <v>0</v>
      </c>
      <c r="Q300" s="1" t="b">
        <f t="shared" si="80"/>
        <v>1</v>
      </c>
      <c r="R300" s="1" t="b">
        <f t="shared" si="81"/>
        <v>1</v>
      </c>
      <c r="S300" s="5">
        <f>Partidas!T300</f>
        <v>1</v>
      </c>
      <c r="T300" s="5">
        <f>Partidas!U300</f>
        <v>14</v>
      </c>
      <c r="U300" s="5">
        <f t="shared" si="82"/>
        <v>15</v>
      </c>
      <c r="V300" s="5" t="b">
        <f t="shared" si="83"/>
        <v>1</v>
      </c>
      <c r="W300" s="5" t="b">
        <f t="shared" si="84"/>
        <v>1</v>
      </c>
      <c r="X300" s="5">
        <f>Partidas!X300</f>
        <v>1</v>
      </c>
      <c r="Y300" s="5">
        <f>Partidas!Y300</f>
        <v>0</v>
      </c>
      <c r="Z300" s="5">
        <f>Partidas!AG300</f>
        <v>0</v>
      </c>
      <c r="AA300" s="5">
        <f>Partidas!AH300</f>
        <v>0</v>
      </c>
      <c r="AB300" s="5">
        <f t="shared" si="85"/>
        <v>1</v>
      </c>
      <c r="AC300" s="1" t="b">
        <f t="shared" si="86"/>
        <v>0</v>
      </c>
      <c r="AD300" s="1" t="b">
        <f t="shared" si="87"/>
        <v>0</v>
      </c>
      <c r="AE300" s="1" t="b">
        <f t="shared" si="88"/>
        <v>0</v>
      </c>
      <c r="AF300" s="1" t="str">
        <f>Partidas!W300</f>
        <v>ok</v>
      </c>
      <c r="AG300" s="1" t="str">
        <f>Partidas!AK300</f>
        <v>ok</v>
      </c>
      <c r="AH300" s="1" t="str">
        <f t="shared" si="89"/>
        <v>Fjelstul World Cup Database + FootyStats CSV</v>
      </c>
      <c r="AI300" s="1">
        <f>Partidas!AX300</f>
        <v>0</v>
      </c>
    </row>
    <row r="301" spans="1:35" ht="15" customHeight="1">
      <c r="A301" s="1" t="str">
        <f>Partidas!C301</f>
        <v>M-2022-44</v>
      </c>
      <c r="B301" s="4">
        <f>Partidas!F301</f>
        <v>44896</v>
      </c>
      <c r="C301" s="1">
        <f>Partidas!A301</f>
        <v>2022</v>
      </c>
      <c r="D301" s="1" t="str">
        <f>Partidas!H301</f>
        <v>Japan</v>
      </c>
      <c r="E301" s="1" t="str">
        <f>Partidas!I301</f>
        <v>Spain</v>
      </c>
      <c r="F301" s="5">
        <f>Partidas!J301</f>
        <v>2</v>
      </c>
      <c r="G301" s="5">
        <f>Partidas!K301</f>
        <v>1</v>
      </c>
      <c r="H301" s="1" t="str">
        <f>Partidas!M301</f>
        <v>H</v>
      </c>
      <c r="I301" s="5">
        <f t="shared" si="72"/>
        <v>3</v>
      </c>
      <c r="J301" s="1" t="b">
        <f t="shared" si="73"/>
        <v>1</v>
      </c>
      <c r="K301" s="1" t="b">
        <f t="shared" si="74"/>
        <v>1</v>
      </c>
      <c r="L301" s="1" t="b">
        <f t="shared" si="75"/>
        <v>0</v>
      </c>
      <c r="M301" s="1" t="b">
        <f t="shared" si="76"/>
        <v>0</v>
      </c>
      <c r="N301" s="1" t="b">
        <f t="shared" si="77"/>
        <v>1</v>
      </c>
      <c r="O301" s="1" t="b">
        <f t="shared" si="78"/>
        <v>1</v>
      </c>
      <c r="P301" s="1" t="b">
        <f t="shared" si="79"/>
        <v>1</v>
      </c>
      <c r="Q301" s="1" t="b">
        <f t="shared" si="80"/>
        <v>1</v>
      </c>
      <c r="R301" s="1" t="b">
        <f t="shared" si="81"/>
        <v>0</v>
      </c>
      <c r="S301" s="5">
        <f>Partidas!T301</f>
        <v>0</v>
      </c>
      <c r="T301" s="5">
        <f>Partidas!U301</f>
        <v>2</v>
      </c>
      <c r="U301" s="5">
        <f t="shared" si="82"/>
        <v>2</v>
      </c>
      <c r="V301" s="5" t="b">
        <f t="shared" si="83"/>
        <v>0</v>
      </c>
      <c r="W301" s="5" t="b">
        <f t="shared" si="84"/>
        <v>0</v>
      </c>
      <c r="X301" s="5">
        <f>Partidas!X301</f>
        <v>3</v>
      </c>
      <c r="Y301" s="5">
        <f>Partidas!Y301</f>
        <v>0</v>
      </c>
      <c r="Z301" s="5">
        <f>Partidas!AG301</f>
        <v>0</v>
      </c>
      <c r="AA301" s="5">
        <f>Partidas!AH301</f>
        <v>0</v>
      </c>
      <c r="AB301" s="5">
        <f t="shared" si="85"/>
        <v>3</v>
      </c>
      <c r="AC301" s="1" t="b">
        <f t="shared" si="86"/>
        <v>0</v>
      </c>
      <c r="AD301" s="1" t="b">
        <f t="shared" si="87"/>
        <v>0</v>
      </c>
      <c r="AE301" s="1" t="b">
        <f t="shared" si="88"/>
        <v>0</v>
      </c>
      <c r="AF301" s="1" t="str">
        <f>Partidas!W301</f>
        <v>ok</v>
      </c>
      <c r="AG301" s="1" t="str">
        <f>Partidas!AK301</f>
        <v>ok</v>
      </c>
      <c r="AH301" s="1" t="str">
        <f t="shared" si="89"/>
        <v>Fjelstul World Cup Database + FootyStats CSV</v>
      </c>
      <c r="AI301" s="1">
        <f>Partidas!AX301</f>
        <v>0</v>
      </c>
    </row>
    <row r="302" spans="1:35" ht="15" customHeight="1">
      <c r="A302" s="1" t="str">
        <f>Partidas!C302</f>
        <v>M-2022-45</v>
      </c>
      <c r="B302" s="4">
        <f>Partidas!F302</f>
        <v>44897</v>
      </c>
      <c r="C302" s="1">
        <f>Partidas!A302</f>
        <v>2022</v>
      </c>
      <c r="D302" s="1" t="str">
        <f>Partidas!H302</f>
        <v>Ghana</v>
      </c>
      <c r="E302" s="1" t="str">
        <f>Partidas!I302</f>
        <v>Uruguay</v>
      </c>
      <c r="F302" s="5">
        <f>Partidas!J302</f>
        <v>0</v>
      </c>
      <c r="G302" s="5">
        <f>Partidas!K302</f>
        <v>2</v>
      </c>
      <c r="H302" s="1" t="str">
        <f>Partidas!M302</f>
        <v>A</v>
      </c>
      <c r="I302" s="5">
        <f t="shared" si="72"/>
        <v>2</v>
      </c>
      <c r="J302" s="1" t="b">
        <f t="shared" si="73"/>
        <v>1</v>
      </c>
      <c r="K302" s="1" t="b">
        <f t="shared" si="74"/>
        <v>0</v>
      </c>
      <c r="L302" s="1" t="b">
        <f t="shared" si="75"/>
        <v>0</v>
      </c>
      <c r="M302" s="1" t="b">
        <f t="shared" si="76"/>
        <v>1</v>
      </c>
      <c r="N302" s="1" t="b">
        <f t="shared" si="77"/>
        <v>1</v>
      </c>
      <c r="O302" s="1" t="b">
        <f t="shared" si="78"/>
        <v>0</v>
      </c>
      <c r="P302" s="1" t="b">
        <f t="shared" si="79"/>
        <v>0</v>
      </c>
      <c r="Q302" s="1" t="b">
        <f t="shared" si="80"/>
        <v>1</v>
      </c>
      <c r="R302" s="1" t="b">
        <f t="shared" si="81"/>
        <v>1</v>
      </c>
      <c r="S302" s="5">
        <f>Partidas!T302</f>
        <v>5</v>
      </c>
      <c r="T302" s="5">
        <f>Partidas!U302</f>
        <v>2</v>
      </c>
      <c r="U302" s="5">
        <f t="shared" si="82"/>
        <v>7</v>
      </c>
      <c r="V302" s="5" t="b">
        <f t="shared" si="83"/>
        <v>0</v>
      </c>
      <c r="W302" s="5" t="b">
        <f t="shared" si="84"/>
        <v>0</v>
      </c>
      <c r="X302" s="5">
        <f>Partidas!X302</f>
        <v>2</v>
      </c>
      <c r="Y302" s="5">
        <f>Partidas!Y302</f>
        <v>5</v>
      </c>
      <c r="Z302" s="5">
        <f>Partidas!AG302</f>
        <v>0</v>
      </c>
      <c r="AA302" s="5">
        <f>Partidas!AH302</f>
        <v>0</v>
      </c>
      <c r="AB302" s="5">
        <f t="shared" si="85"/>
        <v>7</v>
      </c>
      <c r="AC302" s="1" t="b">
        <f t="shared" si="86"/>
        <v>1</v>
      </c>
      <c r="AD302" s="1" t="b">
        <f t="shared" si="87"/>
        <v>1</v>
      </c>
      <c r="AE302" s="1" t="b">
        <f t="shared" si="88"/>
        <v>1</v>
      </c>
      <c r="AF302" s="1" t="str">
        <f>Partidas!W302</f>
        <v>ok</v>
      </c>
      <c r="AG302" s="1" t="str">
        <f>Partidas!AK302</f>
        <v>ok</v>
      </c>
      <c r="AH302" s="1" t="str">
        <f t="shared" si="89"/>
        <v>Fjelstul World Cup Database + FootyStats CSV</v>
      </c>
      <c r="AI302" s="1">
        <f>Partidas!AX302</f>
        <v>0</v>
      </c>
    </row>
    <row r="303" spans="1:35" ht="15" customHeight="1">
      <c r="A303" s="1" t="str">
        <f>Partidas!C303</f>
        <v>M-2022-46</v>
      </c>
      <c r="B303" s="4">
        <f>Partidas!F303</f>
        <v>44897</v>
      </c>
      <c r="C303" s="1">
        <f>Partidas!A303</f>
        <v>2022</v>
      </c>
      <c r="D303" s="1" t="str">
        <f>Partidas!H303</f>
        <v>South Korea</v>
      </c>
      <c r="E303" s="1" t="str">
        <f>Partidas!I303</f>
        <v>Portugal</v>
      </c>
      <c r="F303" s="5">
        <f>Partidas!J303</f>
        <v>2</v>
      </c>
      <c r="G303" s="5">
        <f>Partidas!K303</f>
        <v>1</v>
      </c>
      <c r="H303" s="1" t="str">
        <f>Partidas!M303</f>
        <v>H</v>
      </c>
      <c r="I303" s="5">
        <f t="shared" si="72"/>
        <v>3</v>
      </c>
      <c r="J303" s="1" t="b">
        <f t="shared" si="73"/>
        <v>1</v>
      </c>
      <c r="K303" s="1" t="b">
        <f t="shared" si="74"/>
        <v>1</v>
      </c>
      <c r="L303" s="1" t="b">
        <f t="shared" si="75"/>
        <v>0</v>
      </c>
      <c r="M303" s="1" t="b">
        <f t="shared" si="76"/>
        <v>0</v>
      </c>
      <c r="N303" s="1" t="b">
        <f t="shared" si="77"/>
        <v>1</v>
      </c>
      <c r="O303" s="1" t="b">
        <f t="shared" si="78"/>
        <v>1</v>
      </c>
      <c r="P303" s="1" t="b">
        <f t="shared" si="79"/>
        <v>1</v>
      </c>
      <c r="Q303" s="1" t="b">
        <f t="shared" si="80"/>
        <v>1</v>
      </c>
      <c r="R303" s="1" t="b">
        <f t="shared" si="81"/>
        <v>0</v>
      </c>
      <c r="S303" s="5">
        <f>Partidas!T303</f>
        <v>5</v>
      </c>
      <c r="T303" s="5">
        <f>Partidas!U303</f>
        <v>4</v>
      </c>
      <c r="U303" s="5">
        <f t="shared" si="82"/>
        <v>9</v>
      </c>
      <c r="V303" s="5" t="b">
        <f t="shared" si="83"/>
        <v>1</v>
      </c>
      <c r="W303" s="5" t="b">
        <f t="shared" si="84"/>
        <v>0</v>
      </c>
      <c r="X303" s="5">
        <f>Partidas!X303</f>
        <v>2</v>
      </c>
      <c r="Y303" s="5">
        <f>Partidas!Y303</f>
        <v>0</v>
      </c>
      <c r="Z303" s="5">
        <f>Partidas!AG303</f>
        <v>0</v>
      </c>
      <c r="AA303" s="5">
        <f>Partidas!AH303</f>
        <v>0</v>
      </c>
      <c r="AB303" s="5">
        <f t="shared" si="85"/>
        <v>2</v>
      </c>
      <c r="AC303" s="1" t="b">
        <f t="shared" si="86"/>
        <v>0</v>
      </c>
      <c r="AD303" s="1" t="b">
        <f t="shared" si="87"/>
        <v>0</v>
      </c>
      <c r="AE303" s="1" t="b">
        <f t="shared" si="88"/>
        <v>0</v>
      </c>
      <c r="AF303" s="1" t="str">
        <f>Partidas!W303</f>
        <v>ok</v>
      </c>
      <c r="AG303" s="1" t="str">
        <f>Partidas!AK303</f>
        <v>ok</v>
      </c>
      <c r="AH303" s="1" t="str">
        <f t="shared" si="89"/>
        <v>Fjelstul World Cup Database + FootyStats CSV</v>
      </c>
      <c r="AI303" s="1">
        <f>Partidas!AX303</f>
        <v>0</v>
      </c>
    </row>
    <row r="304" spans="1:35" ht="15" customHeight="1">
      <c r="A304" s="1" t="str">
        <f>Partidas!C304</f>
        <v>M-2022-47</v>
      </c>
      <c r="B304" s="4">
        <f>Partidas!F304</f>
        <v>44897</v>
      </c>
      <c r="C304" s="1">
        <f>Partidas!A304</f>
        <v>2022</v>
      </c>
      <c r="D304" s="1" t="str">
        <f>Partidas!H304</f>
        <v>Cameroon</v>
      </c>
      <c r="E304" s="1" t="str">
        <f>Partidas!I304</f>
        <v>Brazil</v>
      </c>
      <c r="F304" s="5">
        <f>Partidas!J304</f>
        <v>1</v>
      </c>
      <c r="G304" s="5">
        <f>Partidas!K304</f>
        <v>0</v>
      </c>
      <c r="H304" s="1" t="str">
        <f>Partidas!M304</f>
        <v>H</v>
      </c>
      <c r="I304" s="5">
        <f t="shared" si="72"/>
        <v>1</v>
      </c>
      <c r="J304" s="1" t="b">
        <f t="shared" si="73"/>
        <v>0</v>
      </c>
      <c r="K304" s="1" t="b">
        <f t="shared" si="74"/>
        <v>0</v>
      </c>
      <c r="L304" s="1" t="b">
        <f t="shared" si="75"/>
        <v>0</v>
      </c>
      <c r="M304" s="1" t="b">
        <f t="shared" si="76"/>
        <v>1</v>
      </c>
      <c r="N304" s="1" t="b">
        <f t="shared" si="77"/>
        <v>1</v>
      </c>
      <c r="O304" s="1" t="b">
        <f t="shared" si="78"/>
        <v>0</v>
      </c>
      <c r="P304" s="1" t="b">
        <f t="shared" si="79"/>
        <v>1</v>
      </c>
      <c r="Q304" s="1" t="b">
        <f t="shared" si="80"/>
        <v>1</v>
      </c>
      <c r="R304" s="1" t="b">
        <f t="shared" si="81"/>
        <v>0</v>
      </c>
      <c r="S304" s="5">
        <f>Partidas!T304</f>
        <v>3</v>
      </c>
      <c r="T304" s="5">
        <f>Partidas!U304</f>
        <v>11</v>
      </c>
      <c r="U304" s="5">
        <f t="shared" si="82"/>
        <v>14</v>
      </c>
      <c r="V304" s="5" t="b">
        <f t="shared" si="83"/>
        <v>1</v>
      </c>
      <c r="W304" s="5" t="b">
        <f t="shared" si="84"/>
        <v>1</v>
      </c>
      <c r="X304" s="5">
        <f>Partidas!X304</f>
        <v>4</v>
      </c>
      <c r="Y304" s="5">
        <f>Partidas!Y304</f>
        <v>2</v>
      </c>
      <c r="Z304" s="5">
        <f>Partidas!AG304</f>
        <v>1</v>
      </c>
      <c r="AA304" s="5">
        <f>Partidas!AH304</f>
        <v>0</v>
      </c>
      <c r="AB304" s="5">
        <f t="shared" si="85"/>
        <v>7</v>
      </c>
      <c r="AC304" s="1" t="b">
        <f t="shared" si="86"/>
        <v>1</v>
      </c>
      <c r="AD304" s="1" t="b">
        <f t="shared" si="87"/>
        <v>1</v>
      </c>
      <c r="AE304" s="1" t="b">
        <f t="shared" si="88"/>
        <v>1</v>
      </c>
      <c r="AF304" s="1" t="str">
        <f>Partidas!W304</f>
        <v>ok</v>
      </c>
      <c r="AG304" s="1" t="str">
        <f>Partidas!AK304</f>
        <v>ok</v>
      </c>
      <c r="AH304" s="1" t="str">
        <f t="shared" si="89"/>
        <v>Fjelstul World Cup Database + FootyStats CSV</v>
      </c>
      <c r="AI304" s="1">
        <f>Partidas!AX304</f>
        <v>0</v>
      </c>
    </row>
    <row r="305" spans="1:35" ht="15" customHeight="1">
      <c r="A305" s="1" t="str">
        <f>Partidas!C305</f>
        <v>M-2022-48</v>
      </c>
      <c r="B305" s="4">
        <f>Partidas!F305</f>
        <v>44897</v>
      </c>
      <c r="C305" s="1">
        <f>Partidas!A305</f>
        <v>2022</v>
      </c>
      <c r="D305" s="1" t="str">
        <f>Partidas!H305</f>
        <v>Serbia</v>
      </c>
      <c r="E305" s="1" t="str">
        <f>Partidas!I305</f>
        <v>Switzerland</v>
      </c>
      <c r="F305" s="5">
        <f>Partidas!J305</f>
        <v>2</v>
      </c>
      <c r="G305" s="5">
        <f>Partidas!K305</f>
        <v>3</v>
      </c>
      <c r="H305" s="1" t="str">
        <f>Partidas!M305</f>
        <v>A</v>
      </c>
      <c r="I305" s="5">
        <f t="shared" si="72"/>
        <v>5</v>
      </c>
      <c r="J305" s="1" t="b">
        <f t="shared" si="73"/>
        <v>1</v>
      </c>
      <c r="K305" s="1" t="b">
        <f t="shared" si="74"/>
        <v>1</v>
      </c>
      <c r="L305" s="1" t="b">
        <f t="shared" si="75"/>
        <v>1</v>
      </c>
      <c r="M305" s="1" t="b">
        <f t="shared" si="76"/>
        <v>0</v>
      </c>
      <c r="N305" s="1" t="b">
        <f t="shared" si="77"/>
        <v>0</v>
      </c>
      <c r="O305" s="1" t="b">
        <f t="shared" si="78"/>
        <v>1</v>
      </c>
      <c r="P305" s="1" t="b">
        <f t="shared" si="79"/>
        <v>0</v>
      </c>
      <c r="Q305" s="1" t="b">
        <f t="shared" si="80"/>
        <v>1</v>
      </c>
      <c r="R305" s="1" t="b">
        <f t="shared" si="81"/>
        <v>1</v>
      </c>
      <c r="S305" s="5">
        <f>Partidas!T305</f>
        <v>2</v>
      </c>
      <c r="T305" s="5">
        <f>Partidas!U305</f>
        <v>0</v>
      </c>
      <c r="U305" s="5">
        <f t="shared" si="82"/>
        <v>2</v>
      </c>
      <c r="V305" s="5" t="b">
        <f t="shared" si="83"/>
        <v>0</v>
      </c>
      <c r="W305" s="5" t="b">
        <f t="shared" si="84"/>
        <v>0</v>
      </c>
      <c r="X305" s="5">
        <f>Partidas!X305</f>
        <v>7</v>
      </c>
      <c r="Y305" s="5">
        <f>Partidas!Y305</f>
        <v>4</v>
      </c>
      <c r="Z305" s="5">
        <f>Partidas!AG305</f>
        <v>0</v>
      </c>
      <c r="AA305" s="5">
        <f>Partidas!AH305</f>
        <v>0</v>
      </c>
      <c r="AB305" s="5">
        <f t="shared" si="85"/>
        <v>11</v>
      </c>
      <c r="AC305" s="1" t="b">
        <f t="shared" si="86"/>
        <v>1</v>
      </c>
      <c r="AD305" s="1" t="b">
        <f t="shared" si="87"/>
        <v>1</v>
      </c>
      <c r="AE305" s="1" t="b">
        <f t="shared" si="88"/>
        <v>1</v>
      </c>
      <c r="AF305" s="1" t="str">
        <f>Partidas!W305</f>
        <v>ok</v>
      </c>
      <c r="AG305" s="1" t="str">
        <f>Partidas!AK305</f>
        <v>ok</v>
      </c>
      <c r="AH305" s="1" t="str">
        <f t="shared" si="89"/>
        <v>Fjelstul World Cup Database + FootyStats CSV</v>
      </c>
      <c r="AI305" s="1">
        <f>Partidas!AX305</f>
        <v>0</v>
      </c>
    </row>
    <row r="306" spans="1:35" ht="15" customHeight="1">
      <c r="A306" s="1" t="str">
        <f>Partidas!C306</f>
        <v>M-2022-49</v>
      </c>
      <c r="B306" s="4">
        <f>Partidas!F306</f>
        <v>44898</v>
      </c>
      <c r="C306" s="1">
        <f>Partidas!A306</f>
        <v>2022</v>
      </c>
      <c r="D306" s="1" t="str">
        <f>Partidas!H306</f>
        <v>Netherlands</v>
      </c>
      <c r="E306" s="1" t="str">
        <f>Partidas!I306</f>
        <v>United States</v>
      </c>
      <c r="F306" s="5">
        <f>Partidas!J306</f>
        <v>3</v>
      </c>
      <c r="G306" s="5">
        <f>Partidas!K306</f>
        <v>1</v>
      </c>
      <c r="H306" s="1" t="str">
        <f>Partidas!M306</f>
        <v>H</v>
      </c>
      <c r="I306" s="5">
        <f t="shared" si="72"/>
        <v>4</v>
      </c>
      <c r="J306" s="1" t="b">
        <f t="shared" si="73"/>
        <v>1</v>
      </c>
      <c r="K306" s="1" t="b">
        <f t="shared" si="74"/>
        <v>1</v>
      </c>
      <c r="L306" s="1" t="b">
        <f t="shared" si="75"/>
        <v>1</v>
      </c>
      <c r="M306" s="1" t="b">
        <f t="shared" si="76"/>
        <v>0</v>
      </c>
      <c r="N306" s="1" t="b">
        <f t="shared" si="77"/>
        <v>0</v>
      </c>
      <c r="O306" s="1" t="b">
        <f t="shared" si="78"/>
        <v>1</v>
      </c>
      <c r="P306" s="1" t="b">
        <f t="shared" si="79"/>
        <v>1</v>
      </c>
      <c r="Q306" s="1" t="b">
        <f t="shared" si="80"/>
        <v>1</v>
      </c>
      <c r="R306" s="1" t="b">
        <f t="shared" si="81"/>
        <v>0</v>
      </c>
      <c r="S306" s="5">
        <f>Partidas!T306</f>
        <v>4</v>
      </c>
      <c r="T306" s="5">
        <f>Partidas!U306</f>
        <v>5</v>
      </c>
      <c r="U306" s="5">
        <f t="shared" si="82"/>
        <v>9</v>
      </c>
      <c r="V306" s="5" t="b">
        <f t="shared" si="83"/>
        <v>1</v>
      </c>
      <c r="W306" s="5" t="b">
        <f t="shared" si="84"/>
        <v>0</v>
      </c>
      <c r="X306" s="5">
        <f>Partidas!X306</f>
        <v>2</v>
      </c>
      <c r="Y306" s="5">
        <f>Partidas!Y306</f>
        <v>0</v>
      </c>
      <c r="Z306" s="5">
        <f>Partidas!AG306</f>
        <v>0</v>
      </c>
      <c r="AA306" s="5">
        <f>Partidas!AH306</f>
        <v>0</v>
      </c>
      <c r="AB306" s="5">
        <f t="shared" si="85"/>
        <v>2</v>
      </c>
      <c r="AC306" s="1" t="b">
        <f t="shared" si="86"/>
        <v>0</v>
      </c>
      <c r="AD306" s="1" t="b">
        <f t="shared" si="87"/>
        <v>0</v>
      </c>
      <c r="AE306" s="1" t="b">
        <f t="shared" si="88"/>
        <v>0</v>
      </c>
      <c r="AF306" s="1" t="str">
        <f>Partidas!W306</f>
        <v>ok</v>
      </c>
      <c r="AG306" s="1" t="str">
        <f>Partidas!AK306</f>
        <v>ok</v>
      </c>
      <c r="AH306" s="1" t="str">
        <f t="shared" si="89"/>
        <v>Fjelstul World Cup Database + FootyStats CSV</v>
      </c>
      <c r="AI306" s="1">
        <f>Partidas!AX306</f>
        <v>0</v>
      </c>
    </row>
    <row r="307" spans="1:35" ht="15" customHeight="1">
      <c r="A307" s="1" t="str">
        <f>Partidas!C307</f>
        <v>M-2022-50</v>
      </c>
      <c r="B307" s="4">
        <f>Partidas!F307</f>
        <v>44898</v>
      </c>
      <c r="C307" s="1">
        <f>Partidas!A307</f>
        <v>2022</v>
      </c>
      <c r="D307" s="1" t="str">
        <f>Partidas!H307</f>
        <v>Argentina</v>
      </c>
      <c r="E307" s="1" t="str">
        <f>Partidas!I307</f>
        <v>Australia</v>
      </c>
      <c r="F307" s="5">
        <f>Partidas!J307</f>
        <v>2</v>
      </c>
      <c r="G307" s="5">
        <f>Partidas!K307</f>
        <v>1</v>
      </c>
      <c r="H307" s="1" t="str">
        <f>Partidas!M307</f>
        <v>H</v>
      </c>
      <c r="I307" s="5">
        <f t="shared" si="72"/>
        <v>3</v>
      </c>
      <c r="J307" s="1" t="b">
        <f t="shared" si="73"/>
        <v>1</v>
      </c>
      <c r="K307" s="1" t="b">
        <f t="shared" si="74"/>
        <v>1</v>
      </c>
      <c r="L307" s="1" t="b">
        <f t="shared" si="75"/>
        <v>0</v>
      </c>
      <c r="M307" s="1" t="b">
        <f t="shared" si="76"/>
        <v>0</v>
      </c>
      <c r="N307" s="1" t="b">
        <f t="shared" si="77"/>
        <v>1</v>
      </c>
      <c r="O307" s="1" t="b">
        <f t="shared" si="78"/>
        <v>1</v>
      </c>
      <c r="P307" s="1" t="b">
        <f t="shared" si="79"/>
        <v>1</v>
      </c>
      <c r="Q307" s="1" t="b">
        <f t="shared" si="80"/>
        <v>1</v>
      </c>
      <c r="R307" s="1" t="b">
        <f t="shared" si="81"/>
        <v>0</v>
      </c>
      <c r="S307" s="5">
        <f>Partidas!T307</f>
        <v>1</v>
      </c>
      <c r="T307" s="5">
        <f>Partidas!U307</f>
        <v>3</v>
      </c>
      <c r="U307" s="5">
        <f t="shared" si="82"/>
        <v>4</v>
      </c>
      <c r="V307" s="5" t="b">
        <f t="shared" si="83"/>
        <v>0</v>
      </c>
      <c r="W307" s="5" t="b">
        <f t="shared" si="84"/>
        <v>0</v>
      </c>
      <c r="X307" s="5">
        <f>Partidas!X307</f>
        <v>0</v>
      </c>
      <c r="Y307" s="5">
        <f>Partidas!Y307</f>
        <v>2</v>
      </c>
      <c r="Z307" s="5">
        <f>Partidas!AG307</f>
        <v>0</v>
      </c>
      <c r="AA307" s="5">
        <f>Partidas!AH307</f>
        <v>0</v>
      </c>
      <c r="AB307" s="5">
        <f t="shared" si="85"/>
        <v>2</v>
      </c>
      <c r="AC307" s="1" t="b">
        <f t="shared" si="86"/>
        <v>0</v>
      </c>
      <c r="AD307" s="1" t="b">
        <f t="shared" si="87"/>
        <v>0</v>
      </c>
      <c r="AE307" s="1" t="b">
        <f t="shared" si="88"/>
        <v>0</v>
      </c>
      <c r="AF307" s="1" t="str">
        <f>Partidas!W307</f>
        <v>ok</v>
      </c>
      <c r="AG307" s="1" t="str">
        <f>Partidas!AK307</f>
        <v>ok</v>
      </c>
      <c r="AH307" s="1" t="str">
        <f t="shared" si="89"/>
        <v>Fjelstul World Cup Database + FootyStats CSV</v>
      </c>
      <c r="AI307" s="1">
        <f>Partidas!AX307</f>
        <v>0</v>
      </c>
    </row>
    <row r="308" spans="1:35" ht="15" customHeight="1">
      <c r="A308" s="1" t="str">
        <f>Partidas!C308</f>
        <v>M-2022-51</v>
      </c>
      <c r="B308" s="4">
        <f>Partidas!F308</f>
        <v>44899</v>
      </c>
      <c r="C308" s="1">
        <f>Partidas!A308</f>
        <v>2022</v>
      </c>
      <c r="D308" s="1" t="str">
        <f>Partidas!H308</f>
        <v>France</v>
      </c>
      <c r="E308" s="1" t="str">
        <f>Partidas!I308</f>
        <v>Poland</v>
      </c>
      <c r="F308" s="5">
        <f>Partidas!J308</f>
        <v>3</v>
      </c>
      <c r="G308" s="5">
        <f>Partidas!K308</f>
        <v>1</v>
      </c>
      <c r="H308" s="1" t="str">
        <f>Partidas!M308</f>
        <v>H</v>
      </c>
      <c r="I308" s="5">
        <f t="shared" si="72"/>
        <v>4</v>
      </c>
      <c r="J308" s="1" t="b">
        <f t="shared" si="73"/>
        <v>1</v>
      </c>
      <c r="K308" s="1" t="b">
        <f t="shared" si="74"/>
        <v>1</v>
      </c>
      <c r="L308" s="1" t="b">
        <f t="shared" si="75"/>
        <v>1</v>
      </c>
      <c r="M308" s="1" t="b">
        <f t="shared" si="76"/>
        <v>0</v>
      </c>
      <c r="N308" s="1" t="b">
        <f t="shared" si="77"/>
        <v>0</v>
      </c>
      <c r="O308" s="1" t="b">
        <f t="shared" si="78"/>
        <v>1</v>
      </c>
      <c r="P308" s="1" t="b">
        <f t="shared" si="79"/>
        <v>1</v>
      </c>
      <c r="Q308" s="1" t="b">
        <f t="shared" si="80"/>
        <v>1</v>
      </c>
      <c r="R308" s="1" t="b">
        <f t="shared" si="81"/>
        <v>0</v>
      </c>
      <c r="S308" s="5">
        <f>Partidas!T308</f>
        <v>7</v>
      </c>
      <c r="T308" s="5">
        <f>Partidas!U308</f>
        <v>1</v>
      </c>
      <c r="U308" s="5">
        <f t="shared" si="82"/>
        <v>8</v>
      </c>
      <c r="V308" s="5" t="b">
        <f t="shared" si="83"/>
        <v>0</v>
      </c>
      <c r="W308" s="5" t="b">
        <f t="shared" si="84"/>
        <v>0</v>
      </c>
      <c r="X308" s="5">
        <f>Partidas!X308</f>
        <v>1</v>
      </c>
      <c r="Y308" s="5">
        <f>Partidas!Y308</f>
        <v>2</v>
      </c>
      <c r="Z308" s="5">
        <f>Partidas!AG308</f>
        <v>0</v>
      </c>
      <c r="AA308" s="5">
        <f>Partidas!AH308</f>
        <v>0</v>
      </c>
      <c r="AB308" s="5">
        <f t="shared" si="85"/>
        <v>3</v>
      </c>
      <c r="AC308" s="1" t="b">
        <f t="shared" si="86"/>
        <v>0</v>
      </c>
      <c r="AD308" s="1" t="b">
        <f t="shared" si="87"/>
        <v>0</v>
      </c>
      <c r="AE308" s="1" t="b">
        <f t="shared" si="88"/>
        <v>0</v>
      </c>
      <c r="AF308" s="1" t="str">
        <f>Partidas!W308</f>
        <v>ok</v>
      </c>
      <c r="AG308" s="1" t="str">
        <f>Partidas!AK308</f>
        <v>ok</v>
      </c>
      <c r="AH308" s="1" t="str">
        <f t="shared" si="89"/>
        <v>Fjelstul World Cup Database + FootyStats CSV</v>
      </c>
      <c r="AI308" s="1">
        <f>Partidas!AX308</f>
        <v>0</v>
      </c>
    </row>
    <row r="309" spans="1:35" ht="15" customHeight="1">
      <c r="A309" s="1" t="str">
        <f>Partidas!C309</f>
        <v>M-2022-52</v>
      </c>
      <c r="B309" s="4">
        <f>Partidas!F309</f>
        <v>44899</v>
      </c>
      <c r="C309" s="1">
        <f>Partidas!A309</f>
        <v>2022</v>
      </c>
      <c r="D309" s="1" t="str">
        <f>Partidas!H309</f>
        <v>England</v>
      </c>
      <c r="E309" s="1" t="str">
        <f>Partidas!I309</f>
        <v>Senegal</v>
      </c>
      <c r="F309" s="5">
        <f>Partidas!J309</f>
        <v>3</v>
      </c>
      <c r="G309" s="5">
        <f>Partidas!K309</f>
        <v>0</v>
      </c>
      <c r="H309" s="1" t="str">
        <f>Partidas!M309</f>
        <v>H</v>
      </c>
      <c r="I309" s="5">
        <f t="shared" si="72"/>
        <v>3</v>
      </c>
      <c r="J309" s="1" t="b">
        <f t="shared" si="73"/>
        <v>1</v>
      </c>
      <c r="K309" s="1" t="b">
        <f t="shared" si="74"/>
        <v>1</v>
      </c>
      <c r="L309" s="1" t="b">
        <f t="shared" si="75"/>
        <v>0</v>
      </c>
      <c r="M309" s="1" t="b">
        <f t="shared" si="76"/>
        <v>0</v>
      </c>
      <c r="N309" s="1" t="b">
        <f t="shared" si="77"/>
        <v>1</v>
      </c>
      <c r="O309" s="1" t="b">
        <f t="shared" si="78"/>
        <v>0</v>
      </c>
      <c r="P309" s="1" t="b">
        <f t="shared" si="79"/>
        <v>1</v>
      </c>
      <c r="Q309" s="1" t="b">
        <f t="shared" si="80"/>
        <v>1</v>
      </c>
      <c r="R309" s="1" t="b">
        <f t="shared" si="81"/>
        <v>0</v>
      </c>
      <c r="S309" s="5">
        <f>Partidas!T309</f>
        <v>3</v>
      </c>
      <c r="T309" s="5">
        <f>Partidas!U309</f>
        <v>3</v>
      </c>
      <c r="U309" s="5">
        <f t="shared" si="82"/>
        <v>6</v>
      </c>
      <c r="V309" s="5" t="b">
        <f t="shared" si="83"/>
        <v>0</v>
      </c>
      <c r="W309" s="5" t="b">
        <f t="shared" si="84"/>
        <v>0</v>
      </c>
      <c r="X309" s="5">
        <f>Partidas!X309</f>
        <v>0</v>
      </c>
      <c r="Y309" s="5">
        <f>Partidas!Y309</f>
        <v>1</v>
      </c>
      <c r="Z309" s="5">
        <f>Partidas!AG309</f>
        <v>0</v>
      </c>
      <c r="AA309" s="5">
        <f>Partidas!AH309</f>
        <v>0</v>
      </c>
      <c r="AB309" s="5">
        <f t="shared" si="85"/>
        <v>1</v>
      </c>
      <c r="AC309" s="1" t="b">
        <f t="shared" si="86"/>
        <v>0</v>
      </c>
      <c r="AD309" s="1" t="b">
        <f t="shared" si="87"/>
        <v>0</v>
      </c>
      <c r="AE309" s="1" t="b">
        <f t="shared" si="88"/>
        <v>0</v>
      </c>
      <c r="AF309" s="1" t="str">
        <f>Partidas!W309</f>
        <v>ok</v>
      </c>
      <c r="AG309" s="1" t="str">
        <f>Partidas!AK309</f>
        <v>ok</v>
      </c>
      <c r="AH309" s="1" t="str">
        <f t="shared" si="89"/>
        <v>Fjelstul World Cup Database + FootyStats CSV</v>
      </c>
      <c r="AI309" s="1">
        <f>Partidas!AX309</f>
        <v>0</v>
      </c>
    </row>
    <row r="310" spans="1:35" ht="15" customHeight="1">
      <c r="A310" s="1" t="str">
        <f>Partidas!C310</f>
        <v>M-2022-53</v>
      </c>
      <c r="B310" s="4">
        <f>Partidas!F310</f>
        <v>44900</v>
      </c>
      <c r="C310" s="1">
        <f>Partidas!A310</f>
        <v>2022</v>
      </c>
      <c r="D310" s="1" t="str">
        <f>Partidas!H310</f>
        <v>Japan</v>
      </c>
      <c r="E310" s="1" t="str">
        <f>Partidas!I310</f>
        <v>Croatia</v>
      </c>
      <c r="F310" s="5">
        <f>Partidas!J310</f>
        <v>1</v>
      </c>
      <c r="G310" s="5">
        <f>Partidas!K310</f>
        <v>1</v>
      </c>
      <c r="H310" s="1" t="str">
        <f>Partidas!M310</f>
        <v>D</v>
      </c>
      <c r="I310" s="5">
        <f t="shared" si="72"/>
        <v>2</v>
      </c>
      <c r="J310" s="1" t="b">
        <f t="shared" si="73"/>
        <v>1</v>
      </c>
      <c r="K310" s="1" t="b">
        <f t="shared" si="74"/>
        <v>0</v>
      </c>
      <c r="L310" s="1" t="b">
        <f t="shared" si="75"/>
        <v>0</v>
      </c>
      <c r="M310" s="1" t="b">
        <f t="shared" si="76"/>
        <v>1</v>
      </c>
      <c r="N310" s="1" t="b">
        <f t="shared" si="77"/>
        <v>1</v>
      </c>
      <c r="O310" s="1" t="b">
        <f t="shared" si="78"/>
        <v>1</v>
      </c>
      <c r="P310" s="1" t="b">
        <f t="shared" si="79"/>
        <v>1</v>
      </c>
      <c r="Q310" s="1" t="b">
        <f t="shared" si="80"/>
        <v>0</v>
      </c>
      <c r="R310" s="1" t="b">
        <f t="shared" si="81"/>
        <v>1</v>
      </c>
      <c r="S310" s="5">
        <f>Partidas!T310</f>
        <v>8</v>
      </c>
      <c r="T310" s="5">
        <f>Partidas!U310</f>
        <v>5</v>
      </c>
      <c r="U310" s="5">
        <f t="shared" si="82"/>
        <v>13</v>
      </c>
      <c r="V310" s="5" t="b">
        <f t="shared" si="83"/>
        <v>1</v>
      </c>
      <c r="W310" s="5" t="b">
        <f t="shared" si="84"/>
        <v>1</v>
      </c>
      <c r="X310" s="5">
        <f>Partidas!X310</f>
        <v>0</v>
      </c>
      <c r="Y310" s="5">
        <f>Partidas!Y310</f>
        <v>2</v>
      </c>
      <c r="Z310" s="5">
        <f>Partidas!AG310</f>
        <v>0</v>
      </c>
      <c r="AA310" s="5">
        <f>Partidas!AH310</f>
        <v>0</v>
      </c>
      <c r="AB310" s="5">
        <f t="shared" si="85"/>
        <v>2</v>
      </c>
      <c r="AC310" s="1" t="b">
        <f t="shared" si="86"/>
        <v>0</v>
      </c>
      <c r="AD310" s="1" t="b">
        <f t="shared" si="87"/>
        <v>0</v>
      </c>
      <c r="AE310" s="1" t="b">
        <f t="shared" si="88"/>
        <v>0</v>
      </c>
      <c r="AF310" s="1" t="str">
        <f>Partidas!W310</f>
        <v>ok</v>
      </c>
      <c r="AG310" s="1" t="str">
        <f>Partidas!AK310</f>
        <v>ok</v>
      </c>
      <c r="AH310" s="1" t="str">
        <f t="shared" si="89"/>
        <v>Fjelstul World Cup Database + FootyStats CSV</v>
      </c>
      <c r="AI310" s="1">
        <f>Partidas!AX310</f>
        <v>0</v>
      </c>
    </row>
    <row r="311" spans="1:35" ht="15" customHeight="1">
      <c r="A311" s="1" t="str">
        <f>Partidas!C311</f>
        <v>M-2022-54</v>
      </c>
      <c r="B311" s="4">
        <f>Partidas!F311</f>
        <v>44900</v>
      </c>
      <c r="C311" s="1">
        <f>Partidas!A311</f>
        <v>2022</v>
      </c>
      <c r="D311" s="1" t="str">
        <f>Partidas!H311</f>
        <v>Brazil</v>
      </c>
      <c r="E311" s="1" t="str">
        <f>Partidas!I311</f>
        <v>South Korea</v>
      </c>
      <c r="F311" s="5">
        <f>Partidas!J311</f>
        <v>4</v>
      </c>
      <c r="G311" s="5">
        <f>Partidas!K311</f>
        <v>1</v>
      </c>
      <c r="H311" s="1" t="str">
        <f>Partidas!M311</f>
        <v>H</v>
      </c>
      <c r="I311" s="5">
        <f t="shared" si="72"/>
        <v>5</v>
      </c>
      <c r="J311" s="1" t="b">
        <f t="shared" si="73"/>
        <v>1</v>
      </c>
      <c r="K311" s="1" t="b">
        <f t="shared" si="74"/>
        <v>1</v>
      </c>
      <c r="L311" s="1" t="b">
        <f t="shared" si="75"/>
        <v>1</v>
      </c>
      <c r="M311" s="1" t="b">
        <f t="shared" si="76"/>
        <v>0</v>
      </c>
      <c r="N311" s="1" t="b">
        <f t="shared" si="77"/>
        <v>0</v>
      </c>
      <c r="O311" s="1" t="b">
        <f t="shared" si="78"/>
        <v>1</v>
      </c>
      <c r="P311" s="1" t="b">
        <f t="shared" si="79"/>
        <v>1</v>
      </c>
      <c r="Q311" s="1" t="b">
        <f t="shared" si="80"/>
        <v>1</v>
      </c>
      <c r="R311" s="1" t="b">
        <f t="shared" si="81"/>
        <v>0</v>
      </c>
      <c r="S311" s="5">
        <f>Partidas!T311</f>
        <v>5</v>
      </c>
      <c r="T311" s="5">
        <f>Partidas!U311</f>
        <v>4</v>
      </c>
      <c r="U311" s="5">
        <f t="shared" si="82"/>
        <v>9</v>
      </c>
      <c r="V311" s="5" t="b">
        <f t="shared" si="83"/>
        <v>1</v>
      </c>
      <c r="W311" s="5" t="b">
        <f t="shared" si="84"/>
        <v>0</v>
      </c>
      <c r="X311" s="5">
        <f>Partidas!X311</f>
        <v>0</v>
      </c>
      <c r="Y311" s="5">
        <f>Partidas!Y311</f>
        <v>1</v>
      </c>
      <c r="Z311" s="5">
        <f>Partidas!AG311</f>
        <v>0</v>
      </c>
      <c r="AA311" s="5">
        <f>Partidas!AH311</f>
        <v>0</v>
      </c>
      <c r="AB311" s="5">
        <f t="shared" si="85"/>
        <v>1</v>
      </c>
      <c r="AC311" s="1" t="b">
        <f t="shared" si="86"/>
        <v>0</v>
      </c>
      <c r="AD311" s="1" t="b">
        <f t="shared" si="87"/>
        <v>0</v>
      </c>
      <c r="AE311" s="1" t="b">
        <f t="shared" si="88"/>
        <v>0</v>
      </c>
      <c r="AF311" s="1" t="str">
        <f>Partidas!W311</f>
        <v>ok</v>
      </c>
      <c r="AG311" s="1" t="str">
        <f>Partidas!AK311</f>
        <v>ok</v>
      </c>
      <c r="AH311" s="1" t="str">
        <f t="shared" si="89"/>
        <v>Fjelstul World Cup Database + FootyStats CSV</v>
      </c>
      <c r="AI311" s="1">
        <f>Partidas!AX311</f>
        <v>0</v>
      </c>
    </row>
    <row r="312" spans="1:35" ht="15" customHeight="1">
      <c r="A312" s="1" t="str">
        <f>Partidas!C312</f>
        <v>M-2022-55</v>
      </c>
      <c r="B312" s="4">
        <f>Partidas!F312</f>
        <v>44901</v>
      </c>
      <c r="C312" s="1">
        <f>Partidas!A312</f>
        <v>2022</v>
      </c>
      <c r="D312" s="1" t="str">
        <f>Partidas!H312</f>
        <v>Morocco</v>
      </c>
      <c r="E312" s="1" t="str">
        <f>Partidas!I312</f>
        <v>Spain</v>
      </c>
      <c r="F312" s="5">
        <f>Partidas!J312</f>
        <v>0</v>
      </c>
      <c r="G312" s="5">
        <f>Partidas!K312</f>
        <v>0</v>
      </c>
      <c r="H312" s="1" t="str">
        <f>Partidas!M312</f>
        <v>D</v>
      </c>
      <c r="I312" s="5">
        <f t="shared" si="72"/>
        <v>0</v>
      </c>
      <c r="J312" s="1" t="b">
        <f t="shared" si="73"/>
        <v>0</v>
      </c>
      <c r="K312" s="1" t="b">
        <f t="shared" si="74"/>
        <v>0</v>
      </c>
      <c r="L312" s="1" t="b">
        <f t="shared" si="75"/>
        <v>0</v>
      </c>
      <c r="M312" s="1" t="b">
        <f t="shared" si="76"/>
        <v>1</v>
      </c>
      <c r="N312" s="1" t="b">
        <f t="shared" si="77"/>
        <v>1</v>
      </c>
      <c r="O312" s="1" t="b">
        <f t="shared" si="78"/>
        <v>0</v>
      </c>
      <c r="P312" s="1" t="b">
        <f t="shared" si="79"/>
        <v>1</v>
      </c>
      <c r="Q312" s="1" t="b">
        <f t="shared" si="80"/>
        <v>0</v>
      </c>
      <c r="R312" s="1" t="b">
        <f t="shared" si="81"/>
        <v>1</v>
      </c>
      <c r="S312" s="5">
        <f>Partidas!T312</f>
        <v>0</v>
      </c>
      <c r="T312" s="5">
        <f>Partidas!U312</f>
        <v>8</v>
      </c>
      <c r="U312" s="5">
        <f t="shared" si="82"/>
        <v>8</v>
      </c>
      <c r="V312" s="5" t="b">
        <f t="shared" si="83"/>
        <v>0</v>
      </c>
      <c r="W312" s="5" t="b">
        <f t="shared" si="84"/>
        <v>0</v>
      </c>
      <c r="X312" s="5">
        <f>Partidas!X312</f>
        <v>1</v>
      </c>
      <c r="Y312" s="5">
        <f>Partidas!Y312</f>
        <v>1</v>
      </c>
      <c r="Z312" s="5">
        <f>Partidas!AG312</f>
        <v>0</v>
      </c>
      <c r="AA312" s="5">
        <f>Partidas!AH312</f>
        <v>0</v>
      </c>
      <c r="AB312" s="5">
        <f t="shared" si="85"/>
        <v>2</v>
      </c>
      <c r="AC312" s="1" t="b">
        <f t="shared" si="86"/>
        <v>0</v>
      </c>
      <c r="AD312" s="1" t="b">
        <f t="shared" si="87"/>
        <v>0</v>
      </c>
      <c r="AE312" s="1" t="b">
        <f t="shared" si="88"/>
        <v>0</v>
      </c>
      <c r="AF312" s="1" t="str">
        <f>Partidas!W312</f>
        <v>ok</v>
      </c>
      <c r="AG312" s="1" t="str">
        <f>Partidas!AK312</f>
        <v>ok</v>
      </c>
      <c r="AH312" s="1" t="str">
        <f t="shared" si="89"/>
        <v>Fjelstul World Cup Database + FootyStats CSV</v>
      </c>
      <c r="AI312" s="1">
        <f>Partidas!AX312</f>
        <v>0</v>
      </c>
    </row>
    <row r="313" spans="1:35" ht="15" customHeight="1">
      <c r="A313" s="1" t="str">
        <f>Partidas!C313</f>
        <v>M-2022-56</v>
      </c>
      <c r="B313" s="4">
        <f>Partidas!F313</f>
        <v>44901</v>
      </c>
      <c r="C313" s="1">
        <f>Partidas!A313</f>
        <v>2022</v>
      </c>
      <c r="D313" s="1" t="str">
        <f>Partidas!H313</f>
        <v>Portugal</v>
      </c>
      <c r="E313" s="1" t="str">
        <f>Partidas!I313</f>
        <v>Switzerland</v>
      </c>
      <c r="F313" s="5">
        <f>Partidas!J313</f>
        <v>6</v>
      </c>
      <c r="G313" s="5">
        <f>Partidas!K313</f>
        <v>1</v>
      </c>
      <c r="H313" s="1" t="str">
        <f>Partidas!M313</f>
        <v>H</v>
      </c>
      <c r="I313" s="5">
        <f t="shared" si="72"/>
        <v>7</v>
      </c>
      <c r="J313" s="1" t="b">
        <f t="shared" si="73"/>
        <v>1</v>
      </c>
      <c r="K313" s="1" t="b">
        <f t="shared" si="74"/>
        <v>1</v>
      </c>
      <c r="L313" s="1" t="b">
        <f t="shared" si="75"/>
        <v>1</v>
      </c>
      <c r="M313" s="1" t="b">
        <f t="shared" si="76"/>
        <v>0</v>
      </c>
      <c r="N313" s="1" t="b">
        <f t="shared" si="77"/>
        <v>0</v>
      </c>
      <c r="O313" s="1" t="b">
        <f t="shared" si="78"/>
        <v>1</v>
      </c>
      <c r="P313" s="1" t="b">
        <f t="shared" si="79"/>
        <v>1</v>
      </c>
      <c r="Q313" s="1" t="b">
        <f t="shared" si="80"/>
        <v>1</v>
      </c>
      <c r="R313" s="1" t="b">
        <f t="shared" si="81"/>
        <v>0</v>
      </c>
      <c r="S313" s="5">
        <f>Partidas!T313</f>
        <v>6</v>
      </c>
      <c r="T313" s="5">
        <f>Partidas!U313</f>
        <v>6</v>
      </c>
      <c r="U313" s="5">
        <f t="shared" si="82"/>
        <v>12</v>
      </c>
      <c r="V313" s="5" t="b">
        <f t="shared" si="83"/>
        <v>1</v>
      </c>
      <c r="W313" s="5" t="b">
        <f t="shared" si="84"/>
        <v>1</v>
      </c>
      <c r="X313" s="5">
        <f>Partidas!X313</f>
        <v>0</v>
      </c>
      <c r="Y313" s="5">
        <f>Partidas!Y313</f>
        <v>2</v>
      </c>
      <c r="Z313" s="5">
        <f>Partidas!AG313</f>
        <v>0</v>
      </c>
      <c r="AA313" s="5">
        <f>Partidas!AH313</f>
        <v>0</v>
      </c>
      <c r="AB313" s="5">
        <f t="shared" si="85"/>
        <v>2</v>
      </c>
      <c r="AC313" s="1" t="b">
        <f t="shared" si="86"/>
        <v>0</v>
      </c>
      <c r="AD313" s="1" t="b">
        <f t="shared" si="87"/>
        <v>0</v>
      </c>
      <c r="AE313" s="1" t="b">
        <f t="shared" si="88"/>
        <v>0</v>
      </c>
      <c r="AF313" s="1" t="str">
        <f>Partidas!W313</f>
        <v>ok</v>
      </c>
      <c r="AG313" s="1" t="str">
        <f>Partidas!AK313</f>
        <v>ok</v>
      </c>
      <c r="AH313" s="1" t="str">
        <f t="shared" si="89"/>
        <v>Fjelstul World Cup Database + FootyStats CSV</v>
      </c>
      <c r="AI313" s="1">
        <f>Partidas!AX313</f>
        <v>0</v>
      </c>
    </row>
    <row r="314" spans="1:35" ht="15" customHeight="1">
      <c r="A314" s="1" t="str">
        <f>Partidas!C314</f>
        <v>M-2022-57</v>
      </c>
      <c r="B314" s="4">
        <f>Partidas!F314</f>
        <v>44904</v>
      </c>
      <c r="C314" s="1">
        <f>Partidas!A314</f>
        <v>2022</v>
      </c>
      <c r="D314" s="1" t="str">
        <f>Partidas!H314</f>
        <v>Croatia</v>
      </c>
      <c r="E314" s="1" t="str">
        <f>Partidas!I314</f>
        <v>Brazil</v>
      </c>
      <c r="F314" s="5">
        <f>Partidas!J314</f>
        <v>1</v>
      </c>
      <c r="G314" s="5">
        <f>Partidas!K314</f>
        <v>1</v>
      </c>
      <c r="H314" s="1" t="str">
        <f>Partidas!M314</f>
        <v>D</v>
      </c>
      <c r="I314" s="5">
        <f t="shared" si="72"/>
        <v>2</v>
      </c>
      <c r="J314" s="1" t="b">
        <f t="shared" si="73"/>
        <v>1</v>
      </c>
      <c r="K314" s="1" t="b">
        <f t="shared" si="74"/>
        <v>0</v>
      </c>
      <c r="L314" s="1" t="b">
        <f t="shared" si="75"/>
        <v>0</v>
      </c>
      <c r="M314" s="1" t="b">
        <f t="shared" si="76"/>
        <v>1</v>
      </c>
      <c r="N314" s="1" t="b">
        <f t="shared" si="77"/>
        <v>1</v>
      </c>
      <c r="O314" s="1" t="b">
        <f t="shared" si="78"/>
        <v>1</v>
      </c>
      <c r="P314" s="1" t="b">
        <f t="shared" si="79"/>
        <v>1</v>
      </c>
      <c r="Q314" s="1" t="b">
        <f t="shared" si="80"/>
        <v>0</v>
      </c>
      <c r="R314" s="1" t="b">
        <f t="shared" si="81"/>
        <v>1</v>
      </c>
      <c r="S314" s="5">
        <f>Partidas!T314</f>
        <v>3</v>
      </c>
      <c r="T314" s="5">
        <f>Partidas!U314</f>
        <v>7</v>
      </c>
      <c r="U314" s="5">
        <f t="shared" si="82"/>
        <v>10</v>
      </c>
      <c r="V314" s="5" t="b">
        <f t="shared" si="83"/>
        <v>1</v>
      </c>
      <c r="W314" s="5" t="b">
        <f t="shared" si="84"/>
        <v>1</v>
      </c>
      <c r="X314" s="5">
        <f>Partidas!X314</f>
        <v>2</v>
      </c>
      <c r="Y314" s="5">
        <f>Partidas!Y314</f>
        <v>3</v>
      </c>
      <c r="Z314" s="5">
        <f>Partidas!AG314</f>
        <v>0</v>
      </c>
      <c r="AA314" s="5">
        <f>Partidas!AH314</f>
        <v>0</v>
      </c>
      <c r="AB314" s="5">
        <f t="shared" si="85"/>
        <v>5</v>
      </c>
      <c r="AC314" s="1" t="b">
        <f t="shared" si="86"/>
        <v>1</v>
      </c>
      <c r="AD314" s="1" t="b">
        <f t="shared" si="87"/>
        <v>1</v>
      </c>
      <c r="AE314" s="1" t="b">
        <f t="shared" si="88"/>
        <v>0</v>
      </c>
      <c r="AF314" s="1" t="str">
        <f>Partidas!W314</f>
        <v>ok</v>
      </c>
      <c r="AG314" s="1" t="str">
        <f>Partidas!AK314</f>
        <v>ok</v>
      </c>
      <c r="AH314" s="1" t="str">
        <f t="shared" si="89"/>
        <v>Fjelstul World Cup Database + FootyStats CSV</v>
      </c>
      <c r="AI314" s="1">
        <f>Partidas!AX314</f>
        <v>0</v>
      </c>
    </row>
    <row r="315" spans="1:35" ht="15" customHeight="1">
      <c r="A315" s="1" t="str">
        <f>Partidas!C315</f>
        <v>M-2022-58</v>
      </c>
      <c r="B315" s="4">
        <f>Partidas!F315</f>
        <v>44904</v>
      </c>
      <c r="C315" s="1">
        <f>Partidas!A315</f>
        <v>2022</v>
      </c>
      <c r="D315" s="1" t="str">
        <f>Partidas!H315</f>
        <v>Netherlands</v>
      </c>
      <c r="E315" s="1" t="str">
        <f>Partidas!I315</f>
        <v>Argentina</v>
      </c>
      <c r="F315" s="5">
        <f>Partidas!J315</f>
        <v>2</v>
      </c>
      <c r="G315" s="5">
        <f>Partidas!K315</f>
        <v>2</v>
      </c>
      <c r="H315" s="1" t="str">
        <f>Partidas!M315</f>
        <v>D</v>
      </c>
      <c r="I315" s="5">
        <f t="shared" si="72"/>
        <v>4</v>
      </c>
      <c r="J315" s="1" t="b">
        <f t="shared" si="73"/>
        <v>1</v>
      </c>
      <c r="K315" s="1" t="b">
        <f t="shared" si="74"/>
        <v>1</v>
      </c>
      <c r="L315" s="1" t="b">
        <f t="shared" si="75"/>
        <v>1</v>
      </c>
      <c r="M315" s="1" t="b">
        <f t="shared" si="76"/>
        <v>0</v>
      </c>
      <c r="N315" s="1" t="b">
        <f t="shared" si="77"/>
        <v>0</v>
      </c>
      <c r="O315" s="1" t="b">
        <f t="shared" si="78"/>
        <v>1</v>
      </c>
      <c r="P315" s="1" t="b">
        <f t="shared" si="79"/>
        <v>1</v>
      </c>
      <c r="Q315" s="1" t="b">
        <f t="shared" si="80"/>
        <v>0</v>
      </c>
      <c r="R315" s="1" t="b">
        <f t="shared" si="81"/>
        <v>1</v>
      </c>
      <c r="S315" s="5">
        <f>Partidas!T315</f>
        <v>2</v>
      </c>
      <c r="T315" s="5">
        <f>Partidas!U315</f>
        <v>8</v>
      </c>
      <c r="U315" s="5">
        <f t="shared" si="82"/>
        <v>10</v>
      </c>
      <c r="V315" s="5" t="b">
        <f t="shared" si="83"/>
        <v>1</v>
      </c>
      <c r="W315" s="5" t="b">
        <f t="shared" si="84"/>
        <v>1</v>
      </c>
      <c r="X315" s="5">
        <f>Partidas!X315</f>
        <v>7</v>
      </c>
      <c r="Y315" s="5">
        <f>Partidas!Y315</f>
        <v>8</v>
      </c>
      <c r="Z315" s="5">
        <f>Partidas!AG315</f>
        <v>1</v>
      </c>
      <c r="AA315" s="5">
        <f>Partidas!AH315</f>
        <v>0</v>
      </c>
      <c r="AB315" s="5">
        <f t="shared" si="85"/>
        <v>16</v>
      </c>
      <c r="AC315" s="1" t="b">
        <f t="shared" si="86"/>
        <v>1</v>
      </c>
      <c r="AD315" s="1" t="b">
        <f t="shared" si="87"/>
        <v>1</v>
      </c>
      <c r="AE315" s="1" t="b">
        <f t="shared" si="88"/>
        <v>1</v>
      </c>
      <c r="AF315" s="1" t="str">
        <f>Partidas!W315</f>
        <v>ok</v>
      </c>
      <c r="AG315" s="1" t="str">
        <f>Partidas!AK315</f>
        <v>ok</v>
      </c>
      <c r="AH315" s="1" t="str">
        <f t="shared" si="89"/>
        <v>Fjelstul World Cup Database + FootyStats CSV</v>
      </c>
      <c r="AI315" s="1">
        <f>Partidas!AX315</f>
        <v>0</v>
      </c>
    </row>
    <row r="316" spans="1:35" ht="15" customHeight="1">
      <c r="A316" s="1" t="str">
        <f>Partidas!C316</f>
        <v>M-2022-59</v>
      </c>
      <c r="B316" s="4">
        <f>Partidas!F316</f>
        <v>44905</v>
      </c>
      <c r="C316" s="1">
        <f>Partidas!A316</f>
        <v>2022</v>
      </c>
      <c r="D316" s="1" t="str">
        <f>Partidas!H316</f>
        <v>Morocco</v>
      </c>
      <c r="E316" s="1" t="str">
        <f>Partidas!I316</f>
        <v>Portugal</v>
      </c>
      <c r="F316" s="5">
        <f>Partidas!J316</f>
        <v>1</v>
      </c>
      <c r="G316" s="5">
        <f>Partidas!K316</f>
        <v>0</v>
      </c>
      <c r="H316" s="1" t="str">
        <f>Partidas!M316</f>
        <v>H</v>
      </c>
      <c r="I316" s="5">
        <f t="shared" si="72"/>
        <v>1</v>
      </c>
      <c r="J316" s="1" t="b">
        <f t="shared" si="73"/>
        <v>0</v>
      </c>
      <c r="K316" s="1" t="b">
        <f t="shared" si="74"/>
        <v>0</v>
      </c>
      <c r="L316" s="1" t="b">
        <f t="shared" si="75"/>
        <v>0</v>
      </c>
      <c r="M316" s="1" t="b">
        <f t="shared" si="76"/>
        <v>1</v>
      </c>
      <c r="N316" s="1" t="b">
        <f t="shared" si="77"/>
        <v>1</v>
      </c>
      <c r="O316" s="1" t="b">
        <f t="shared" si="78"/>
        <v>0</v>
      </c>
      <c r="P316" s="1" t="b">
        <f t="shared" si="79"/>
        <v>1</v>
      </c>
      <c r="Q316" s="1" t="b">
        <f t="shared" si="80"/>
        <v>1</v>
      </c>
      <c r="R316" s="1" t="b">
        <f t="shared" si="81"/>
        <v>0</v>
      </c>
      <c r="S316" s="5">
        <f>Partidas!T316</f>
        <v>3</v>
      </c>
      <c r="T316" s="5">
        <f>Partidas!U316</f>
        <v>9</v>
      </c>
      <c r="U316" s="5">
        <f t="shared" si="82"/>
        <v>12</v>
      </c>
      <c r="V316" s="5" t="b">
        <f t="shared" si="83"/>
        <v>1</v>
      </c>
      <c r="W316" s="5" t="b">
        <f t="shared" si="84"/>
        <v>1</v>
      </c>
      <c r="X316" s="5">
        <f>Partidas!X316</f>
        <v>2</v>
      </c>
      <c r="Y316" s="5">
        <f>Partidas!Y316</f>
        <v>1</v>
      </c>
      <c r="Z316" s="5">
        <f>Partidas!AG316</f>
        <v>1</v>
      </c>
      <c r="AA316" s="5">
        <f>Partidas!AH316</f>
        <v>0</v>
      </c>
      <c r="AB316" s="5">
        <f t="shared" si="85"/>
        <v>4</v>
      </c>
      <c r="AC316" s="1" t="b">
        <f t="shared" si="86"/>
        <v>1</v>
      </c>
      <c r="AD316" s="1" t="b">
        <f t="shared" si="87"/>
        <v>0</v>
      </c>
      <c r="AE316" s="1" t="b">
        <f t="shared" si="88"/>
        <v>0</v>
      </c>
      <c r="AF316" s="1" t="str">
        <f>Partidas!W316</f>
        <v>ok</v>
      </c>
      <c r="AG316" s="1" t="str">
        <f>Partidas!AK316</f>
        <v>ok</v>
      </c>
      <c r="AH316" s="1" t="str">
        <f t="shared" si="89"/>
        <v>Fjelstul World Cup Database + FootyStats CSV</v>
      </c>
      <c r="AI316" s="1">
        <f>Partidas!AX316</f>
        <v>0</v>
      </c>
    </row>
    <row r="317" spans="1:35" ht="15" customHeight="1">
      <c r="A317" s="1" t="str">
        <f>Partidas!C317</f>
        <v>M-2022-60</v>
      </c>
      <c r="B317" s="4">
        <f>Partidas!F317</f>
        <v>44905</v>
      </c>
      <c r="C317" s="1">
        <f>Partidas!A317</f>
        <v>2022</v>
      </c>
      <c r="D317" s="1" t="str">
        <f>Partidas!H317</f>
        <v>England</v>
      </c>
      <c r="E317" s="1" t="str">
        <f>Partidas!I317</f>
        <v>France</v>
      </c>
      <c r="F317" s="5">
        <f>Partidas!J317</f>
        <v>1</v>
      </c>
      <c r="G317" s="5">
        <f>Partidas!K317</f>
        <v>2</v>
      </c>
      <c r="H317" s="1" t="str">
        <f>Partidas!M317</f>
        <v>A</v>
      </c>
      <c r="I317" s="5">
        <f t="shared" si="72"/>
        <v>3</v>
      </c>
      <c r="J317" s="1" t="b">
        <f t="shared" si="73"/>
        <v>1</v>
      </c>
      <c r="K317" s="1" t="b">
        <f t="shared" si="74"/>
        <v>1</v>
      </c>
      <c r="L317" s="1" t="b">
        <f t="shared" si="75"/>
        <v>0</v>
      </c>
      <c r="M317" s="1" t="b">
        <f t="shared" si="76"/>
        <v>0</v>
      </c>
      <c r="N317" s="1" t="b">
        <f t="shared" si="77"/>
        <v>1</v>
      </c>
      <c r="O317" s="1" t="b">
        <f t="shared" si="78"/>
        <v>1</v>
      </c>
      <c r="P317" s="1" t="b">
        <f t="shared" si="79"/>
        <v>0</v>
      </c>
      <c r="Q317" s="1" t="b">
        <f t="shared" si="80"/>
        <v>1</v>
      </c>
      <c r="R317" s="1" t="b">
        <f t="shared" si="81"/>
        <v>1</v>
      </c>
      <c r="S317" s="5">
        <f>Partidas!T317</f>
        <v>5</v>
      </c>
      <c r="T317" s="5">
        <f>Partidas!U317</f>
        <v>2</v>
      </c>
      <c r="U317" s="5">
        <f t="shared" si="82"/>
        <v>7</v>
      </c>
      <c r="V317" s="5" t="b">
        <f t="shared" si="83"/>
        <v>0</v>
      </c>
      <c r="W317" s="5" t="b">
        <f t="shared" si="84"/>
        <v>0</v>
      </c>
      <c r="X317" s="5">
        <f>Partidas!X317</f>
        <v>1</v>
      </c>
      <c r="Y317" s="5">
        <f>Partidas!Y317</f>
        <v>3</v>
      </c>
      <c r="Z317" s="5">
        <f>Partidas!AG317</f>
        <v>0</v>
      </c>
      <c r="AA317" s="5">
        <f>Partidas!AH317</f>
        <v>0</v>
      </c>
      <c r="AB317" s="5">
        <f t="shared" si="85"/>
        <v>4</v>
      </c>
      <c r="AC317" s="1" t="b">
        <f t="shared" si="86"/>
        <v>1</v>
      </c>
      <c r="AD317" s="1" t="b">
        <f t="shared" si="87"/>
        <v>0</v>
      </c>
      <c r="AE317" s="1" t="b">
        <f t="shared" si="88"/>
        <v>0</v>
      </c>
      <c r="AF317" s="1" t="str">
        <f>Partidas!W317</f>
        <v>ok</v>
      </c>
      <c r="AG317" s="1" t="str">
        <f>Partidas!AK317</f>
        <v>ok</v>
      </c>
      <c r="AH317" s="1" t="str">
        <f t="shared" si="89"/>
        <v>Fjelstul World Cup Database + FootyStats CSV</v>
      </c>
      <c r="AI317" s="1">
        <f>Partidas!AX317</f>
        <v>0</v>
      </c>
    </row>
    <row r="318" spans="1:35" ht="15" customHeight="1">
      <c r="A318" s="1" t="str">
        <f>Partidas!C318</f>
        <v>M-2022-61</v>
      </c>
      <c r="B318" s="4">
        <f>Partidas!F318</f>
        <v>44908</v>
      </c>
      <c r="C318" s="1">
        <f>Partidas!A318</f>
        <v>2022</v>
      </c>
      <c r="D318" s="1" t="str">
        <f>Partidas!H318</f>
        <v>Argentina</v>
      </c>
      <c r="E318" s="1" t="str">
        <f>Partidas!I318</f>
        <v>Croatia</v>
      </c>
      <c r="F318" s="5">
        <f>Partidas!J318</f>
        <v>3</v>
      </c>
      <c r="G318" s="5">
        <f>Partidas!K318</f>
        <v>0</v>
      </c>
      <c r="H318" s="1" t="str">
        <f>Partidas!M318</f>
        <v>H</v>
      </c>
      <c r="I318" s="5">
        <f t="shared" si="72"/>
        <v>3</v>
      </c>
      <c r="J318" s="1" t="b">
        <f t="shared" si="73"/>
        <v>1</v>
      </c>
      <c r="K318" s="1" t="b">
        <f t="shared" si="74"/>
        <v>1</v>
      </c>
      <c r="L318" s="1" t="b">
        <f t="shared" si="75"/>
        <v>0</v>
      </c>
      <c r="M318" s="1" t="b">
        <f t="shared" si="76"/>
        <v>0</v>
      </c>
      <c r="N318" s="1" t="b">
        <f t="shared" si="77"/>
        <v>1</v>
      </c>
      <c r="O318" s="1" t="b">
        <f t="shared" si="78"/>
        <v>0</v>
      </c>
      <c r="P318" s="1" t="b">
        <f t="shared" si="79"/>
        <v>1</v>
      </c>
      <c r="Q318" s="1" t="b">
        <f t="shared" si="80"/>
        <v>1</v>
      </c>
      <c r="R318" s="1" t="b">
        <f t="shared" si="81"/>
        <v>0</v>
      </c>
      <c r="S318" s="5">
        <f>Partidas!T318</f>
        <v>2</v>
      </c>
      <c r="T318" s="5">
        <f>Partidas!U318</f>
        <v>4</v>
      </c>
      <c r="U318" s="5">
        <f t="shared" si="82"/>
        <v>6</v>
      </c>
      <c r="V318" s="5" t="b">
        <f t="shared" si="83"/>
        <v>0</v>
      </c>
      <c r="W318" s="5" t="b">
        <f t="shared" si="84"/>
        <v>0</v>
      </c>
      <c r="X318" s="5">
        <f>Partidas!X318</f>
        <v>2</v>
      </c>
      <c r="Y318" s="5">
        <f>Partidas!Y318</f>
        <v>2</v>
      </c>
      <c r="Z318" s="5">
        <f>Partidas!AG318</f>
        <v>0</v>
      </c>
      <c r="AA318" s="5">
        <f>Partidas!AH318</f>
        <v>0</v>
      </c>
      <c r="AB318" s="5">
        <f t="shared" si="85"/>
        <v>4</v>
      </c>
      <c r="AC318" s="1" t="b">
        <f t="shared" si="86"/>
        <v>1</v>
      </c>
      <c r="AD318" s="1" t="b">
        <f t="shared" si="87"/>
        <v>0</v>
      </c>
      <c r="AE318" s="1" t="b">
        <f t="shared" si="88"/>
        <v>0</v>
      </c>
      <c r="AF318" s="1" t="str">
        <f>Partidas!W318</f>
        <v>ok</v>
      </c>
      <c r="AG318" s="1" t="str">
        <f>Partidas!AK318</f>
        <v>ok</v>
      </c>
      <c r="AH318" s="1" t="str">
        <f t="shared" si="89"/>
        <v>Fjelstul World Cup Database + FootyStats CSV</v>
      </c>
      <c r="AI318" s="1">
        <f>Partidas!AX318</f>
        <v>0</v>
      </c>
    </row>
    <row r="319" spans="1:35" ht="15" customHeight="1">
      <c r="A319" s="1" t="str">
        <f>Partidas!C319</f>
        <v>M-2022-62</v>
      </c>
      <c r="B319" s="4">
        <f>Partidas!F319</f>
        <v>44909</v>
      </c>
      <c r="C319" s="1">
        <f>Partidas!A319</f>
        <v>2022</v>
      </c>
      <c r="D319" s="1" t="str">
        <f>Partidas!H319</f>
        <v>France</v>
      </c>
      <c r="E319" s="1" t="str">
        <f>Partidas!I319</f>
        <v>Morocco</v>
      </c>
      <c r="F319" s="5">
        <f>Partidas!J319</f>
        <v>2</v>
      </c>
      <c r="G319" s="5">
        <f>Partidas!K319</f>
        <v>0</v>
      </c>
      <c r="H319" s="1" t="str">
        <f>Partidas!M319</f>
        <v>H</v>
      </c>
      <c r="I319" s="5">
        <f t="shared" si="72"/>
        <v>2</v>
      </c>
      <c r="J319" s="1" t="b">
        <f t="shared" si="73"/>
        <v>1</v>
      </c>
      <c r="K319" s="1" t="b">
        <f t="shared" si="74"/>
        <v>0</v>
      </c>
      <c r="L319" s="1" t="b">
        <f t="shared" si="75"/>
        <v>0</v>
      </c>
      <c r="M319" s="1" t="b">
        <f t="shared" si="76"/>
        <v>1</v>
      </c>
      <c r="N319" s="1" t="b">
        <f t="shared" si="77"/>
        <v>1</v>
      </c>
      <c r="O319" s="1" t="b">
        <f t="shared" si="78"/>
        <v>0</v>
      </c>
      <c r="P319" s="1" t="b">
        <f t="shared" si="79"/>
        <v>1</v>
      </c>
      <c r="Q319" s="1" t="b">
        <f t="shared" si="80"/>
        <v>1</v>
      </c>
      <c r="R319" s="1" t="b">
        <f t="shared" si="81"/>
        <v>0</v>
      </c>
      <c r="S319" s="5">
        <f>Partidas!T319</f>
        <v>2</v>
      </c>
      <c r="T319" s="5">
        <f>Partidas!U319</f>
        <v>3</v>
      </c>
      <c r="U319" s="5">
        <f t="shared" si="82"/>
        <v>5</v>
      </c>
      <c r="V319" s="5" t="b">
        <f t="shared" si="83"/>
        <v>0</v>
      </c>
      <c r="W319" s="5" t="b">
        <f t="shared" si="84"/>
        <v>0</v>
      </c>
      <c r="X319" s="5">
        <f>Partidas!X319</f>
        <v>0</v>
      </c>
      <c r="Y319" s="5">
        <f>Partidas!Y319</f>
        <v>1</v>
      </c>
      <c r="Z319" s="5">
        <f>Partidas!AG319</f>
        <v>0</v>
      </c>
      <c r="AA319" s="5">
        <f>Partidas!AH319</f>
        <v>0</v>
      </c>
      <c r="AB319" s="5">
        <f t="shared" si="85"/>
        <v>1</v>
      </c>
      <c r="AC319" s="1" t="b">
        <f t="shared" si="86"/>
        <v>0</v>
      </c>
      <c r="AD319" s="1" t="b">
        <f t="shared" si="87"/>
        <v>0</v>
      </c>
      <c r="AE319" s="1" t="b">
        <f t="shared" si="88"/>
        <v>0</v>
      </c>
      <c r="AF319" s="1" t="str">
        <f>Partidas!W319</f>
        <v>ok</v>
      </c>
      <c r="AG319" s="1" t="str">
        <f>Partidas!AK319</f>
        <v>ok</v>
      </c>
      <c r="AH319" s="1" t="str">
        <f t="shared" si="89"/>
        <v>Fjelstul World Cup Database + FootyStats CSV</v>
      </c>
      <c r="AI319" s="1">
        <f>Partidas!AX319</f>
        <v>0</v>
      </c>
    </row>
    <row r="320" spans="1:35" ht="15" customHeight="1">
      <c r="A320" s="1" t="str">
        <f>Partidas!C320</f>
        <v>M-2022-63</v>
      </c>
      <c r="B320" s="4">
        <f>Partidas!F320</f>
        <v>44912</v>
      </c>
      <c r="C320" s="1">
        <f>Partidas!A320</f>
        <v>2022</v>
      </c>
      <c r="D320" s="1" t="str">
        <f>Partidas!H320</f>
        <v>Croatia</v>
      </c>
      <c r="E320" s="1" t="str">
        <f>Partidas!I320</f>
        <v>Morocco</v>
      </c>
      <c r="F320" s="5">
        <f>Partidas!J320</f>
        <v>2</v>
      </c>
      <c r="G320" s="5">
        <f>Partidas!K320</f>
        <v>1</v>
      </c>
      <c r="H320" s="1" t="str">
        <f>Partidas!M320</f>
        <v>H</v>
      </c>
      <c r="I320" s="5">
        <f t="shared" si="72"/>
        <v>3</v>
      </c>
      <c r="J320" s="1" t="b">
        <f t="shared" si="73"/>
        <v>1</v>
      </c>
      <c r="K320" s="1" t="b">
        <f t="shared" si="74"/>
        <v>1</v>
      </c>
      <c r="L320" s="1" t="b">
        <f t="shared" si="75"/>
        <v>0</v>
      </c>
      <c r="M320" s="1" t="b">
        <f t="shared" si="76"/>
        <v>0</v>
      </c>
      <c r="N320" s="1" t="b">
        <f t="shared" si="77"/>
        <v>1</v>
      </c>
      <c r="O320" s="1" t="b">
        <f t="shared" si="78"/>
        <v>1</v>
      </c>
      <c r="P320" s="1" t="b">
        <f t="shared" si="79"/>
        <v>1</v>
      </c>
      <c r="Q320" s="1" t="b">
        <f t="shared" si="80"/>
        <v>1</v>
      </c>
      <c r="R320" s="1" t="b">
        <f t="shared" si="81"/>
        <v>0</v>
      </c>
      <c r="S320" s="5">
        <f>Partidas!T320</f>
        <v>6</v>
      </c>
      <c r="T320" s="5">
        <f>Partidas!U320</f>
        <v>3</v>
      </c>
      <c r="U320" s="5">
        <f t="shared" si="82"/>
        <v>9</v>
      </c>
      <c r="V320" s="5" t="b">
        <f t="shared" si="83"/>
        <v>1</v>
      </c>
      <c r="W320" s="5" t="b">
        <f t="shared" si="84"/>
        <v>0</v>
      </c>
      <c r="X320" s="5">
        <f>Partidas!X320</f>
        <v>0</v>
      </c>
      <c r="Y320" s="5">
        <f>Partidas!Y320</f>
        <v>2</v>
      </c>
      <c r="Z320" s="5">
        <f>Partidas!AG320</f>
        <v>0</v>
      </c>
      <c r="AA320" s="5">
        <f>Partidas!AH320</f>
        <v>0</v>
      </c>
      <c r="AB320" s="5">
        <f t="shared" si="85"/>
        <v>2</v>
      </c>
      <c r="AC320" s="1" t="b">
        <f t="shared" si="86"/>
        <v>0</v>
      </c>
      <c r="AD320" s="1" t="b">
        <f t="shared" si="87"/>
        <v>0</v>
      </c>
      <c r="AE320" s="1" t="b">
        <f t="shared" si="88"/>
        <v>0</v>
      </c>
      <c r="AF320" s="1" t="str">
        <f>Partidas!W320</f>
        <v>ok</v>
      </c>
      <c r="AG320" s="1" t="str">
        <f>Partidas!AK320</f>
        <v>ok</v>
      </c>
      <c r="AH320" s="1" t="str">
        <f t="shared" si="89"/>
        <v>Fjelstul World Cup Database + FootyStats CSV</v>
      </c>
      <c r="AI320" s="1">
        <f>Partidas!AX320</f>
        <v>0</v>
      </c>
    </row>
    <row r="321" spans="1:35" ht="15" customHeight="1">
      <c r="A321" s="1" t="str">
        <f>Partidas!C321</f>
        <v>M-2022-64</v>
      </c>
      <c r="B321" s="4">
        <f>Partidas!F321</f>
        <v>44913</v>
      </c>
      <c r="C321" s="1">
        <f>Partidas!A321</f>
        <v>2022</v>
      </c>
      <c r="D321" s="1" t="str">
        <f>Partidas!H321</f>
        <v>Argentina</v>
      </c>
      <c r="E321" s="1" t="str">
        <f>Partidas!I321</f>
        <v>France</v>
      </c>
      <c r="F321" s="5">
        <f>Partidas!J321</f>
        <v>3</v>
      </c>
      <c r="G321" s="5">
        <f>Partidas!K321</f>
        <v>3</v>
      </c>
      <c r="H321" s="1" t="str">
        <f>Partidas!M321</f>
        <v>D</v>
      </c>
      <c r="I321" s="5">
        <f t="shared" si="72"/>
        <v>6</v>
      </c>
      <c r="J321" s="1" t="b">
        <f t="shared" si="73"/>
        <v>1</v>
      </c>
      <c r="K321" s="1" t="b">
        <f t="shared" si="74"/>
        <v>1</v>
      </c>
      <c r="L321" s="1" t="b">
        <f t="shared" si="75"/>
        <v>1</v>
      </c>
      <c r="M321" s="1" t="b">
        <f t="shared" si="76"/>
        <v>0</v>
      </c>
      <c r="N321" s="1" t="b">
        <f t="shared" si="77"/>
        <v>0</v>
      </c>
      <c r="O321" s="1" t="b">
        <f t="shared" si="78"/>
        <v>1</v>
      </c>
      <c r="P321" s="1" t="b">
        <f t="shared" si="79"/>
        <v>1</v>
      </c>
      <c r="Q321" s="1" t="b">
        <f t="shared" si="80"/>
        <v>0</v>
      </c>
      <c r="R321" s="1" t="b">
        <f t="shared" si="81"/>
        <v>1</v>
      </c>
      <c r="S321" s="5">
        <f>Partidas!T321</f>
        <v>6</v>
      </c>
      <c r="T321" s="5">
        <f>Partidas!U321</f>
        <v>5</v>
      </c>
      <c r="U321" s="5">
        <f t="shared" si="82"/>
        <v>11</v>
      </c>
      <c r="V321" s="5" t="b">
        <f t="shared" si="83"/>
        <v>1</v>
      </c>
      <c r="W321" s="5" t="b">
        <f t="shared" si="84"/>
        <v>1</v>
      </c>
      <c r="X321" s="5">
        <f>Partidas!X321</f>
        <v>5</v>
      </c>
      <c r="Y321" s="5">
        <f>Partidas!Y321</f>
        <v>3</v>
      </c>
      <c r="Z321" s="5">
        <f>Partidas!AG321</f>
        <v>0</v>
      </c>
      <c r="AA321" s="5">
        <f>Partidas!AH321</f>
        <v>0</v>
      </c>
      <c r="AB321" s="5">
        <f t="shared" si="85"/>
        <v>8</v>
      </c>
      <c r="AC321" s="1" t="b">
        <f t="shared" si="86"/>
        <v>1</v>
      </c>
      <c r="AD321" s="1" t="b">
        <f t="shared" si="87"/>
        <v>1</v>
      </c>
      <c r="AE321" s="1" t="b">
        <f t="shared" si="88"/>
        <v>1</v>
      </c>
      <c r="AF321" s="1" t="str">
        <f>Partidas!W321</f>
        <v>ok</v>
      </c>
      <c r="AG321" s="1" t="str">
        <f>Partidas!AK321</f>
        <v>ok</v>
      </c>
      <c r="AH321" s="1" t="str">
        <f t="shared" si="89"/>
        <v>Fjelstul World Cup Database + FootyStats CSV</v>
      </c>
      <c r="AI321" s="1">
        <f>Partidas!AX321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6"/>
  <sheetViews>
    <sheetView showGridLines="0" workbookViewId="0"/>
  </sheetViews>
  <sheetFormatPr defaultRowHeight="14.25"/>
  <cols>
    <col min="1" max="1" width="6.125" customWidth="1"/>
    <col min="2" max="2" width="9.25" customWidth="1"/>
    <col min="3" max="3" width="6.375" customWidth="1"/>
    <col min="4" max="4" width="11.375" customWidth="1"/>
    <col min="5" max="6" width="4.25" customWidth="1"/>
    <col min="7" max="7" width="4.125" customWidth="1"/>
    <col min="8" max="8" width="21.25" customWidth="1"/>
    <col min="9" max="9" width="15.125" customWidth="1"/>
    <col min="10" max="10" width="16.375" customWidth="1"/>
    <col min="11" max="11" width="14.25" customWidth="1"/>
    <col min="12" max="12" width="14.75" customWidth="1"/>
    <col min="13" max="13" width="17.25" customWidth="1"/>
    <col min="14" max="14" width="18.625" customWidth="1"/>
  </cols>
  <sheetData>
    <row r="1" spans="1:14" ht="15" customHeight="1">
      <c r="A1" s="3" t="s">
        <v>664</v>
      </c>
      <c r="B1" s="3" t="s">
        <v>11</v>
      </c>
      <c r="C1" s="3" t="s">
        <v>14</v>
      </c>
      <c r="D1" s="3" t="s">
        <v>665</v>
      </c>
      <c r="E1" s="3" t="s">
        <v>78</v>
      </c>
      <c r="F1" s="3" t="s">
        <v>108</v>
      </c>
      <c r="G1" s="3" t="s">
        <v>93</v>
      </c>
      <c r="H1" s="3" t="s">
        <v>12</v>
      </c>
      <c r="I1" s="3" t="s">
        <v>666</v>
      </c>
      <c r="J1" s="3" t="s">
        <v>667</v>
      </c>
      <c r="K1" s="3" t="s">
        <v>668</v>
      </c>
      <c r="L1" s="3" t="s">
        <v>669</v>
      </c>
      <c r="M1" s="3" t="s">
        <v>15</v>
      </c>
      <c r="N1" s="3" t="s">
        <v>670</v>
      </c>
    </row>
    <row r="2" spans="1:14" ht="15" customHeight="1">
      <c r="A2" s="1">
        <v>2006</v>
      </c>
      <c r="B2" s="1">
        <f>COUNTIF(Partidas!$A$2:$A$321,A2)</f>
        <v>64</v>
      </c>
      <c r="C2" s="1">
        <f>SUMIF(Partidas!$A$2:$A$321,A2,Partidas!$J$2:$J$321)+SUMIF(Partidas!$A$2:$A$321,A2,Partidas!$K$2:$K$321)</f>
        <v>147</v>
      </c>
      <c r="D2" s="7">
        <f>C2/B2</f>
        <v>2.296875</v>
      </c>
      <c r="E2" s="1">
        <f>COUNTIFS(Partidas!$A$2:$A$321,A2,Partidas!$M$2:$M$321,"H")</f>
        <v>32</v>
      </c>
      <c r="F2" s="1">
        <f>COUNTIFS(Partidas!$A$2:$A$321,A2,Partidas!$M$2:$M$321,"D")</f>
        <v>15</v>
      </c>
      <c r="G2" s="1">
        <f>COUNTIFS(Partidas!$A$2:$A$321,A2,Partidas!$M$2:$M$321,"A")</f>
        <v>17</v>
      </c>
      <c r="H2" s="1">
        <f>COUNTIFS(Partidas!$A$2:$A$321,A2,Partidas!$W$2:$W$321,"ok")</f>
        <v>0</v>
      </c>
      <c r="I2" s="1">
        <f>SUMIFS(Partidas!$V$2:$V$321,Partidas!$A$2:$A$321,A2)</f>
        <v>0</v>
      </c>
      <c r="J2" s="7" t="str">
        <f>IF(H2=0,"dados_insuficientes",I2/H2)</f>
        <v>dados_insuficientes</v>
      </c>
      <c r="K2" s="1">
        <f>SUMIFS(Partidas!$Z$2:$Z$321,Partidas!$A$2:$A$321,A2)</f>
        <v>326</v>
      </c>
      <c r="L2" s="1">
        <f>SUMIFS(Partidas!$AI$2:$AI$321,Partidas!$A$2:$A$321,A2)</f>
        <v>28</v>
      </c>
      <c r="M2" s="1">
        <f>SUMIFS(Partidas!$AJ$2:$AJ$321,Partidas!$A$2:$A$321,A2)</f>
        <v>354</v>
      </c>
      <c r="N2" s="7">
        <f>M2/B2</f>
        <v>5.53125</v>
      </c>
    </row>
    <row r="3" spans="1:14" ht="15" customHeight="1">
      <c r="A3" s="1">
        <v>2010</v>
      </c>
      <c r="B3" s="1">
        <f>COUNTIF(Partidas!$A$2:$A$321,A3)</f>
        <v>64</v>
      </c>
      <c r="C3" s="1">
        <f>SUMIF(Partidas!$A$2:$A$321,A3,Partidas!$J$2:$J$321)+SUMIF(Partidas!$A$2:$A$321,A3,Partidas!$K$2:$K$321)</f>
        <v>145</v>
      </c>
      <c r="D3" s="7">
        <f>C3/B3</f>
        <v>2.265625</v>
      </c>
      <c r="E3" s="1">
        <f>COUNTIFS(Partidas!$A$2:$A$321,A3,Partidas!$M$2:$M$321,"H")</f>
        <v>23</v>
      </c>
      <c r="F3" s="1">
        <f>COUNTIFS(Partidas!$A$2:$A$321,A3,Partidas!$M$2:$M$321,"D")</f>
        <v>16</v>
      </c>
      <c r="G3" s="1">
        <f>COUNTIFS(Partidas!$A$2:$A$321,A3,Partidas!$M$2:$M$321,"A")</f>
        <v>25</v>
      </c>
      <c r="H3" s="1">
        <f>COUNTIFS(Partidas!$A$2:$A$321,A3,Partidas!$W$2:$W$321,"ok")</f>
        <v>64</v>
      </c>
      <c r="I3" s="1">
        <f>SUMIFS(Partidas!$V$2:$V$321,Partidas!$A$2:$A$321,A3)</f>
        <v>620</v>
      </c>
      <c r="J3" s="7">
        <f>IF(H3=0,"dados_insuficientes",I3/H3)</f>
        <v>9.6875</v>
      </c>
      <c r="K3" s="1">
        <f>SUMIFS(Partidas!$Z$2:$Z$321,Partidas!$A$2:$A$321,A3)</f>
        <v>254</v>
      </c>
      <c r="L3" s="1">
        <f>SUMIFS(Partidas!$AI$2:$AI$321,Partidas!$A$2:$A$321,A3)</f>
        <v>17</v>
      </c>
      <c r="M3" s="1">
        <f>SUMIFS(Partidas!$AJ$2:$AJ$321,Partidas!$A$2:$A$321,A3)</f>
        <v>271</v>
      </c>
      <c r="N3" s="7">
        <f>M3/B3</f>
        <v>4.234375</v>
      </c>
    </row>
    <row r="4" spans="1:14" ht="15" customHeight="1">
      <c r="A4" s="1">
        <v>2014</v>
      </c>
      <c r="B4" s="1">
        <f>COUNTIF(Partidas!$A$2:$A$321,A4)</f>
        <v>64</v>
      </c>
      <c r="C4" s="1">
        <f>SUMIF(Partidas!$A$2:$A$321,A4,Partidas!$J$2:$J$321)+SUMIF(Partidas!$A$2:$A$321,A4,Partidas!$K$2:$K$321)</f>
        <v>171</v>
      </c>
      <c r="D4" s="7">
        <f>C4/B4</f>
        <v>2.671875</v>
      </c>
      <c r="E4" s="1">
        <f>COUNTIFS(Partidas!$A$2:$A$321,A4,Partidas!$M$2:$M$321,"H")</f>
        <v>28</v>
      </c>
      <c r="F4" s="1">
        <f>COUNTIFS(Partidas!$A$2:$A$321,A4,Partidas!$M$2:$M$321,"D")</f>
        <v>13</v>
      </c>
      <c r="G4" s="1">
        <f>COUNTIFS(Partidas!$A$2:$A$321,A4,Partidas!$M$2:$M$321,"A")</f>
        <v>23</v>
      </c>
      <c r="H4" s="1">
        <f>COUNTIFS(Partidas!$A$2:$A$321,A4,Partidas!$W$2:$W$321,"ok")</f>
        <v>64</v>
      </c>
      <c r="I4" s="1">
        <f>SUMIFS(Partidas!$V$2:$V$321,Partidas!$A$2:$A$321,A4)</f>
        <v>668</v>
      </c>
      <c r="J4" s="7">
        <f>IF(H4=0,"dados_insuficientes",I4/H4)</f>
        <v>10.4375</v>
      </c>
      <c r="K4" s="1">
        <f>SUMIFS(Partidas!$Z$2:$Z$321,Partidas!$A$2:$A$321,A4)</f>
        <v>184</v>
      </c>
      <c r="L4" s="1">
        <f>SUMIFS(Partidas!$AI$2:$AI$321,Partidas!$A$2:$A$321,A4)</f>
        <v>10</v>
      </c>
      <c r="M4" s="1">
        <f>SUMIFS(Partidas!$AJ$2:$AJ$321,Partidas!$A$2:$A$321,A4)</f>
        <v>194</v>
      </c>
      <c r="N4" s="7">
        <f>M4/B4</f>
        <v>3.03125</v>
      </c>
    </row>
    <row r="5" spans="1:14" ht="15" customHeight="1">
      <c r="A5" s="1">
        <v>2018</v>
      </c>
      <c r="B5" s="1">
        <f>COUNTIF(Partidas!$A$2:$A$321,A5)</f>
        <v>64</v>
      </c>
      <c r="C5" s="1">
        <f>SUMIF(Partidas!$A$2:$A$321,A5,Partidas!$J$2:$J$321)+SUMIF(Partidas!$A$2:$A$321,A5,Partidas!$K$2:$K$321)</f>
        <v>169</v>
      </c>
      <c r="D5" s="7">
        <f>C5/B5</f>
        <v>2.640625</v>
      </c>
      <c r="E5" s="1">
        <f>COUNTIFS(Partidas!$A$2:$A$321,A5,Partidas!$M$2:$M$321,"H")</f>
        <v>26</v>
      </c>
      <c r="F5" s="1">
        <f>COUNTIFS(Partidas!$A$2:$A$321,A5,Partidas!$M$2:$M$321,"D")</f>
        <v>13</v>
      </c>
      <c r="G5" s="1">
        <f>COUNTIFS(Partidas!$A$2:$A$321,A5,Partidas!$M$2:$M$321,"A")</f>
        <v>25</v>
      </c>
      <c r="H5" s="1">
        <f>COUNTIFS(Partidas!$A$2:$A$321,A5,Partidas!$W$2:$W$321,"ok")</f>
        <v>64</v>
      </c>
      <c r="I5" s="1">
        <f>SUMIFS(Partidas!$V$2:$V$321,Partidas!$A$2:$A$321,A5)</f>
        <v>597</v>
      </c>
      <c r="J5" s="7">
        <f>IF(H5=0,"dados_insuficientes",I5/H5)</f>
        <v>9.328125</v>
      </c>
      <c r="K5" s="1">
        <f>SUMIFS(Partidas!$Z$2:$Z$321,Partidas!$A$2:$A$321,A5)</f>
        <v>221</v>
      </c>
      <c r="L5" s="1">
        <f>SUMIFS(Partidas!$AI$2:$AI$321,Partidas!$A$2:$A$321,A5)</f>
        <v>4</v>
      </c>
      <c r="M5" s="1">
        <f>SUMIFS(Partidas!$AJ$2:$AJ$321,Partidas!$A$2:$A$321,A5)</f>
        <v>225</v>
      </c>
      <c r="N5" s="7">
        <f>M5/B5</f>
        <v>3.515625</v>
      </c>
    </row>
    <row r="6" spans="1:14" ht="15" customHeight="1">
      <c r="A6" s="1">
        <v>2022</v>
      </c>
      <c r="B6" s="1">
        <f>COUNTIF(Partidas!$A$2:$A$321,A6)</f>
        <v>64</v>
      </c>
      <c r="C6" s="1">
        <f>SUMIF(Partidas!$A$2:$A$321,A6,Partidas!$J$2:$J$321)+SUMIF(Partidas!$A$2:$A$321,A6,Partidas!$K$2:$K$321)</f>
        <v>172</v>
      </c>
      <c r="D6" s="7">
        <f>C6/B6</f>
        <v>2.6875</v>
      </c>
      <c r="E6" s="1">
        <f>COUNTIFS(Partidas!$A$2:$A$321,A6,Partidas!$M$2:$M$321,"H")</f>
        <v>29</v>
      </c>
      <c r="F6" s="1">
        <f>COUNTIFS(Partidas!$A$2:$A$321,A6,Partidas!$M$2:$M$321,"D")</f>
        <v>15</v>
      </c>
      <c r="G6" s="1">
        <f>COUNTIFS(Partidas!$A$2:$A$321,A6,Partidas!$M$2:$M$321,"A")</f>
        <v>20</v>
      </c>
      <c r="H6" s="1">
        <f>COUNTIFS(Partidas!$A$2:$A$321,A6,Partidas!$W$2:$W$321,"ok")</f>
        <v>64</v>
      </c>
      <c r="I6" s="1">
        <f>SUMIFS(Partidas!$V$2:$V$321,Partidas!$A$2:$A$321,A6)</f>
        <v>572</v>
      </c>
      <c r="J6" s="7">
        <f>IF(H6=0,"dados_insuficientes",I6/H6)</f>
        <v>8.9375</v>
      </c>
      <c r="K6" s="1">
        <f>SUMIFS(Partidas!$Z$2:$Z$321,Partidas!$A$2:$A$321,A6)</f>
        <v>224</v>
      </c>
      <c r="L6" s="1">
        <f>SUMIFS(Partidas!$AI$2:$AI$321,Partidas!$A$2:$A$321,A6)</f>
        <v>4</v>
      </c>
      <c r="M6" s="1">
        <f>SUMIFS(Partidas!$AJ$2:$AJ$321,Partidas!$A$2:$A$321,A6)</f>
        <v>228</v>
      </c>
      <c r="N6" s="7">
        <f>M6/B6</f>
        <v>3.5625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4.25"/>
  <cols>
    <col min="1" max="1" width="24" customWidth="1"/>
    <col min="2" max="2" width="18" customWidth="1"/>
    <col min="3" max="3" width="95" customWidth="1"/>
  </cols>
  <sheetData>
    <row r="1" spans="1:3" ht="15" customHeight="1">
      <c r="A1" s="3" t="s">
        <v>671</v>
      </c>
      <c r="B1" s="3" t="s">
        <v>672</v>
      </c>
      <c r="C1" s="3" t="s">
        <v>673</v>
      </c>
    </row>
    <row r="2" spans="1:3" ht="15" customHeight="1">
      <c r="A2" s="1" t="s">
        <v>674</v>
      </c>
      <c r="B2" s="1" t="s">
        <v>675</v>
      </c>
      <c r="C2" s="1" t="s">
        <v>676</v>
      </c>
    </row>
    <row r="3" spans="1:3" ht="15" customHeight="1">
      <c r="A3" s="1" t="s">
        <v>638</v>
      </c>
      <c r="B3" s="1" t="s">
        <v>675</v>
      </c>
      <c r="C3" s="1" t="s">
        <v>677</v>
      </c>
    </row>
    <row r="4" spans="1:3" ht="15" customHeight="1">
      <c r="A4" s="1" t="s">
        <v>678</v>
      </c>
      <c r="B4" s="1" t="s">
        <v>11</v>
      </c>
      <c r="C4" s="1" t="s">
        <v>679</v>
      </c>
    </row>
    <row r="5" spans="1:3" ht="15" customHeight="1">
      <c r="A5" s="1" t="s">
        <v>680</v>
      </c>
      <c r="B5" s="1" t="s">
        <v>675</v>
      </c>
      <c r="C5" s="1" t="s">
        <v>681</v>
      </c>
    </row>
    <row r="6" spans="1:3" ht="15" customHeight="1">
      <c r="A6" s="1" t="s">
        <v>682</v>
      </c>
      <c r="B6" s="1" t="s">
        <v>675</v>
      </c>
      <c r="C6" s="1" t="s">
        <v>683</v>
      </c>
    </row>
    <row r="7" spans="1:3" ht="15" customHeight="1">
      <c r="A7" s="1" t="s">
        <v>684</v>
      </c>
      <c r="B7" s="1" t="s">
        <v>675</v>
      </c>
      <c r="C7" s="1" t="s">
        <v>685</v>
      </c>
    </row>
    <row r="8" spans="1:3" ht="15" customHeight="1">
      <c r="A8" s="1" t="s">
        <v>658</v>
      </c>
      <c r="B8" s="1" t="s">
        <v>675</v>
      </c>
      <c r="C8" s="1" t="s">
        <v>686</v>
      </c>
    </row>
    <row r="9" spans="1:3" ht="15" customHeight="1">
      <c r="A9" s="1" t="s">
        <v>42</v>
      </c>
      <c r="B9" s="1" t="s">
        <v>675</v>
      </c>
      <c r="C9" s="1" t="s">
        <v>687</v>
      </c>
    </row>
    <row r="10" spans="1:3" ht="15" customHeight="1">
      <c r="A10" s="1" t="s">
        <v>56</v>
      </c>
      <c r="B10" s="1" t="s">
        <v>675</v>
      </c>
      <c r="C10" s="1" t="s">
        <v>688</v>
      </c>
    </row>
    <row r="11" spans="1:3" ht="15" customHeight="1">
      <c r="A11" s="1" t="s">
        <v>689</v>
      </c>
      <c r="B11" s="1" t="s">
        <v>690</v>
      </c>
      <c r="C11" s="1" t="s">
        <v>691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14.25"/>
  <cols>
    <col min="1" max="1" width="24" customWidth="1"/>
    <col min="2" max="2" width="28" customWidth="1"/>
    <col min="3" max="3" width="85" customWidth="1"/>
    <col min="4" max="5" width="65" customWidth="1"/>
  </cols>
  <sheetData>
    <row r="1" spans="1:5" ht="15" customHeight="1">
      <c r="A1" s="3" t="s">
        <v>692</v>
      </c>
      <c r="B1" s="3" t="s">
        <v>693</v>
      </c>
      <c r="C1" s="3" t="s">
        <v>694</v>
      </c>
      <c r="D1" s="3" t="s">
        <v>695</v>
      </c>
      <c r="E1" s="3" t="s">
        <v>696</v>
      </c>
    </row>
    <row r="2" spans="1:5" ht="15" customHeight="1">
      <c r="A2" s="1" t="s">
        <v>697</v>
      </c>
      <c r="B2" s="1" t="s">
        <v>698</v>
      </c>
      <c r="C2" s="1" t="s">
        <v>17</v>
      </c>
      <c r="D2" s="1" t="s">
        <v>699</v>
      </c>
      <c r="E2" s="1" t="s">
        <v>700</v>
      </c>
    </row>
    <row r="3" spans="1:5" ht="15" customHeight="1">
      <c r="A3" s="1" t="s">
        <v>701</v>
      </c>
      <c r="B3" s="1" t="s">
        <v>702</v>
      </c>
      <c r="C3" s="1" t="s">
        <v>84</v>
      </c>
      <c r="D3" s="1" t="s">
        <v>703</v>
      </c>
      <c r="E3" s="1" t="s">
        <v>704</v>
      </c>
    </row>
    <row r="4" spans="1:5" ht="15" customHeight="1">
      <c r="A4" s="1" t="s">
        <v>705</v>
      </c>
      <c r="B4" s="1" t="s">
        <v>706</v>
      </c>
      <c r="C4" s="1" t="s">
        <v>85</v>
      </c>
      <c r="D4" s="1" t="s">
        <v>707</v>
      </c>
      <c r="E4" s="1" t="s">
        <v>708</v>
      </c>
    </row>
    <row r="5" spans="1:5" ht="15" customHeight="1">
      <c r="A5" s="1" t="s">
        <v>709</v>
      </c>
      <c r="B5" s="1" t="s">
        <v>710</v>
      </c>
      <c r="C5" s="1" t="s">
        <v>19</v>
      </c>
      <c r="D5" s="1" t="s">
        <v>711</v>
      </c>
      <c r="E5" s="1" t="s">
        <v>712</v>
      </c>
    </row>
    <row r="6" spans="1:5" ht="15" customHeight="1">
      <c r="A6" s="1" t="s">
        <v>713</v>
      </c>
      <c r="B6" s="1" t="s">
        <v>714</v>
      </c>
      <c r="C6" s="1" t="s">
        <v>86</v>
      </c>
      <c r="D6" s="1" t="s">
        <v>715</v>
      </c>
      <c r="E6" s="1" t="s">
        <v>716</v>
      </c>
    </row>
    <row r="7" spans="1:5" ht="15" customHeight="1">
      <c r="A7" s="1" t="s">
        <v>713</v>
      </c>
      <c r="B7" s="1" t="s">
        <v>717</v>
      </c>
      <c r="C7" s="1" t="s">
        <v>251</v>
      </c>
      <c r="D7" s="1" t="s">
        <v>718</v>
      </c>
      <c r="E7" s="1" t="s">
        <v>719</v>
      </c>
    </row>
    <row r="8" spans="1:5" ht="15" customHeight="1">
      <c r="A8" s="1" t="s">
        <v>713</v>
      </c>
      <c r="B8" s="1" t="s">
        <v>720</v>
      </c>
      <c r="C8" s="1" t="s">
        <v>354</v>
      </c>
      <c r="D8" s="1" t="s">
        <v>721</v>
      </c>
      <c r="E8" s="1" t="s">
        <v>719</v>
      </c>
    </row>
    <row r="9" spans="1:5" ht="15" customHeight="1">
      <c r="A9" s="1" t="s">
        <v>713</v>
      </c>
      <c r="B9" s="1" t="s">
        <v>722</v>
      </c>
      <c r="C9" s="1" t="s">
        <v>457</v>
      </c>
      <c r="D9" s="1" t="s">
        <v>723</v>
      </c>
      <c r="E9" s="1" t="s">
        <v>719</v>
      </c>
    </row>
    <row r="10" spans="1:5" ht="15" customHeight="1">
      <c r="A10" s="1" t="s">
        <v>713</v>
      </c>
      <c r="B10" s="1" t="s">
        <v>724</v>
      </c>
      <c r="C10" s="1" t="s">
        <v>557</v>
      </c>
      <c r="D10" s="1" t="s">
        <v>725</v>
      </c>
      <c r="E10" s="1" t="s">
        <v>719</v>
      </c>
    </row>
    <row r="11" spans="1:5" ht="15" customHeight="1">
      <c r="A11" s="1" t="s">
        <v>5</v>
      </c>
      <c r="B11" s="1" t="s">
        <v>726</v>
      </c>
      <c r="C11" s="1" t="s">
        <v>727</v>
      </c>
      <c r="D11" s="1" t="s">
        <v>728</v>
      </c>
      <c r="E11" s="1" t="s">
        <v>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Partidas</vt:lpstr>
      <vt:lpstr>Labels_Modelo</vt:lpstr>
      <vt:lpstr>Por_Edicao</vt:lpstr>
      <vt:lpstr>Dicionario</vt:lpstr>
      <vt:lpstr>Fontes_Limitacoes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User</cp:lastModifiedBy>
  <dcterms:modified xsi:type="dcterms:W3CDTF">2026-06-25T22:25:13Z</dcterms:modified>
</cp:coreProperties>
</file>